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0" yWindow="60" windowWidth="19155" windowHeight="11760"/>
  </bookViews>
  <sheets>
    <sheet name="P_PickListExcel" sheetId="2" r:id="rId1"/>
  </sheets>
  <calcPr calcId="145621"/>
</workbook>
</file>

<file path=xl/calcChain.xml><?xml version="1.0" encoding="utf-8"?>
<calcChain xmlns="http://schemas.openxmlformats.org/spreadsheetml/2006/main">
  <c r="A53" i="2" l="1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</calcChain>
</file>

<file path=xl/sharedStrings.xml><?xml version="1.0" encoding="utf-8"?>
<sst xmlns="http://schemas.openxmlformats.org/spreadsheetml/2006/main" count="219" uniqueCount="35">
  <si>
    <t>    </t>
  </si>
  <si>
    <t>Production Pick List</t>
  </si>
  <si>
    <r>
      <t>008445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2"/>
        <color rgb="FF000000"/>
        <rFont val="Arial"/>
        <family val="2"/>
      </rPr>
      <t>TIMKEN COMPANY NEW PHILADELPHIA</t>
    </r>
  </si>
  <si>
    <t xml:space="preserve"> Ship Horizon :          10 Days </t>
  </si>
  <si>
    <r>
      <t> Report Date 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"/>
        <family val="2"/>
      </rPr>
      <t xml:space="preserve">23/3/2016 08:26 </t>
    </r>
  </si>
  <si>
    <t> Production / Repair</t>
  </si>
  <si>
    <t>Material Number</t>
  </si>
  <si>
    <t>Material Desc</t>
  </si>
  <si>
    <t>Required Date</t>
  </si>
  <si>
    <t>Lean</t>
  </si>
  <si>
    <t>Quantity</t>
  </si>
  <si>
    <t>ESQ</t>
  </si>
  <si>
    <t>Deliver To</t>
  </si>
  <si>
    <t>Sch.Qty</t>
  </si>
  <si>
    <t>Auto ATS</t>
  </si>
  <si>
    <t>ATS</t>
  </si>
  <si>
    <t>CONE BEARING</t>
  </si>
  <si>
    <t>OVERDUE</t>
  </si>
  <si>
    <t>8100-MTSR</t>
  </si>
  <si>
    <t>N</t>
  </si>
  <si>
    <t>TAPERED ROLLER</t>
  </si>
  <si>
    <t>Y</t>
  </si>
  <si>
    <t>8110-MTOR</t>
  </si>
  <si>
    <t>CONE</t>
  </si>
  <si>
    <t>MULTIPLE</t>
  </si>
  <si>
    <t>CUP</t>
  </si>
  <si>
    <t>8030-C3P1</t>
  </si>
  <si>
    <t>BEARING</t>
  </si>
  <si>
    <t>BEARING CUP</t>
  </si>
  <si>
    <t>CONE/CUP ASSY</t>
  </si>
  <si>
    <t>BEARING CONE</t>
  </si>
  <si>
    <t>BEARING ROLLE</t>
  </si>
  <si>
    <t>BRG ROLLER TAP</t>
  </si>
  <si>
    <t>Supplier</t>
  </si>
  <si>
    <t>008445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</si>
</sst>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6">
    <xf numFmtId="0" fontId="0" fillId="0" borderId="0" xfId="0"/>
    <xf numFmtId="0" fontId="0" fillId="0" borderId="13" xfId="0" applyBorder="1"/>
    <xf numFmtId="0" fontId="0" fillId="0" borderId="14" xfId="0" applyBorder="1" applyAlignment="1">
      <alignment wrapText="1"/>
    </xf>
    <xf numFmtId="0" fontId="0" fillId="0" borderId="15" xfId="0" applyBorder="1"/>
    <xf numFmtId="0" fontId="18" fillId="0" borderId="14" xfId="0" applyFont="1" applyBorder="1" applyAlignment="1">
      <alignment wrapText="1"/>
    </xf>
    <xf numFmtId="0" fontId="19" fillId="0" borderId="14" xfId="0" applyFont="1" applyBorder="1" applyAlignment="1">
      <alignment wrapText="1"/>
    </xf>
    <xf numFmtId="0" fontId="20" fillId="0" borderId="14" xfId="0" applyFont="1" applyBorder="1" applyAlignment="1">
      <alignment wrapText="1"/>
    </xf>
    <xf numFmtId="0" fontId="0" fillId="33" borderId="10" xfId="0" applyFill="1" applyBorder="1" applyAlignment="1">
      <alignment wrapText="1"/>
    </xf>
    <xf numFmtId="0" fontId="0" fillId="33" borderId="10" xfId="0" applyFill="1" applyBorder="1" applyAlignment="1">
      <alignment horizontal="left" wrapText="1"/>
    </xf>
    <xf numFmtId="0" fontId="0" fillId="33" borderId="10" xfId="0" applyFill="1" applyBorder="1" applyAlignment="1">
      <alignment horizontal="center" wrapText="1"/>
    </xf>
    <xf numFmtId="14" fontId="0" fillId="33" borderId="10" xfId="0" applyNumberFormat="1" applyFill="1" applyBorder="1" applyAlignment="1">
      <alignment horizontal="left" wrapText="1"/>
    </xf>
    <xf numFmtId="0" fontId="23" fillId="33" borderId="22" xfId="0" applyFont="1" applyFill="1" applyBorder="1" applyAlignment="1">
      <alignment horizontal="center" vertical="center" wrapText="1"/>
    </xf>
    <xf numFmtId="0" fontId="23" fillId="33" borderId="22" xfId="0" applyFont="1" applyFill="1" applyBorder="1" applyAlignment="1">
      <alignment horizontal="left" vertical="center" wrapText="1"/>
    </xf>
    <xf numFmtId="0" fontId="23" fillId="33" borderId="22" xfId="0" applyFont="1" applyFill="1" applyBorder="1" applyAlignment="1">
      <alignment horizontal="right" vertical="center" wrapText="1"/>
    </xf>
    <xf numFmtId="0" fontId="0" fillId="0" borderId="23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24" xfId="0" quotePrefix="1" applyBorder="1" applyAlignment="1">
      <alignment wrapText="1"/>
    </xf>
    <xf numFmtId="0" fontId="0" fillId="0" borderId="25" xfId="0" quotePrefix="1" applyBorder="1" applyAlignment="1">
      <alignment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0" fontId="0" fillId="0" borderId="28" xfId="0" applyBorder="1" applyAlignment="1">
      <alignment wrapText="1"/>
    </xf>
    <xf numFmtId="0" fontId="14" fillId="0" borderId="16" xfId="0" applyFont="1" applyBorder="1" applyAlignment="1">
      <alignment wrapText="1"/>
    </xf>
    <xf numFmtId="0" fontId="14" fillId="0" borderId="17" xfId="0" applyFont="1" applyBorder="1" applyAlignment="1">
      <alignment wrapText="1"/>
    </xf>
    <xf numFmtId="0" fontId="14" fillId="0" borderId="18" xfId="0" applyFont="1" applyBorder="1" applyAlignment="1">
      <alignment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21" xfId="0" applyBorder="1" applyAlignment="1">
      <alignment wrapText="1"/>
    </xf>
    <xf numFmtId="0" fontId="21" fillId="0" borderId="19" xfId="0" applyFont="1" applyBorder="1" applyAlignment="1">
      <alignment horizontal="left" wrapText="1"/>
    </xf>
    <xf numFmtId="0" fontId="21" fillId="0" borderId="20" xfId="0" applyFont="1" applyBorder="1" applyAlignment="1">
      <alignment horizontal="left" wrapText="1"/>
    </xf>
    <xf numFmtId="0" fontId="21" fillId="0" borderId="21" xfId="0" applyFont="1" applyBorder="1" applyAlignment="1">
      <alignment horizontal="left" wrapText="1"/>
    </xf>
    <xf numFmtId="0" fontId="18" fillId="0" borderId="19" xfId="0" applyFont="1" applyBorder="1" applyAlignment="1">
      <alignment wrapText="1"/>
    </xf>
    <xf numFmtId="0" fontId="18" fillId="0" borderId="20" xfId="0" applyFont="1" applyBorder="1" applyAlignment="1">
      <alignment wrapText="1"/>
    </xf>
    <xf numFmtId="0" fontId="18" fillId="0" borderId="21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1</xdr:row>
          <xdr:rowOff>38100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2:K53"/>
  <sheetViews>
    <sheetView showGridLines="0" tabSelected="1" workbookViewId="0"/>
  </sheetViews>
  <sheetFormatPr defaultRowHeight="15" x14ac:dyDescent="0.25"/>
  <cols>
    <col min="1" max="1" width="49.85546875" customWidth="1"/>
    <col min="2" max="2" width="21.5703125" customWidth="1"/>
    <col min="3" max="3" width="18.85546875" customWidth="1"/>
    <col min="4" max="4" width="7" customWidth="1"/>
    <col min="5" max="5" width="11.85546875" customWidth="1"/>
    <col min="6" max="6" width="6" customWidth="1"/>
    <col min="7" max="7" width="15" customWidth="1"/>
    <col min="8" max="8" width="10.42578125" customWidth="1"/>
    <col min="9" max="9" width="12.140625" customWidth="1"/>
    <col min="10" max="10" width="5.7109375" customWidth="1"/>
    <col min="11" max="11" width="13" customWidth="1"/>
  </cols>
  <sheetData>
    <row r="2" spans="1:11" ht="15" customHeight="1" x14ac:dyDescent="0.25">
      <c r="A2" s="24" t="s">
        <v>0</v>
      </c>
      <c r="B2" s="25"/>
      <c r="C2" s="25"/>
      <c r="D2" s="25"/>
      <c r="E2" s="25"/>
      <c r="F2" s="25"/>
      <c r="G2" s="25"/>
      <c r="H2" s="25"/>
      <c r="I2" s="25"/>
      <c r="J2" s="26"/>
      <c r="K2" s="1"/>
    </row>
    <row r="3" spans="1:11" x14ac:dyDescent="0.25">
      <c r="A3" s="2"/>
      <c r="J3" s="3"/>
      <c r="K3" s="3"/>
    </row>
    <row r="4" spans="1:11" ht="15.75" x14ac:dyDescent="0.25">
      <c r="A4" s="4" t="s">
        <v>1</v>
      </c>
      <c r="J4" s="3"/>
      <c r="K4" s="3"/>
    </row>
    <row r="5" spans="1:11" ht="31.5" x14ac:dyDescent="0.25">
      <c r="A5" s="5" t="s">
        <v>2</v>
      </c>
      <c r="J5" s="3"/>
      <c r="K5" s="3"/>
    </row>
    <row r="6" spans="1:11" x14ac:dyDescent="0.25">
      <c r="A6" s="2"/>
      <c r="J6" s="3"/>
      <c r="K6" s="3"/>
    </row>
    <row r="7" spans="1:11" x14ac:dyDescent="0.25">
      <c r="A7" s="6" t="s">
        <v>3</v>
      </c>
      <c r="J7" s="3"/>
      <c r="K7" s="3"/>
    </row>
    <row r="8" spans="1:11" x14ac:dyDescent="0.25">
      <c r="A8" s="21"/>
      <c r="B8" s="22"/>
      <c r="C8" s="22"/>
      <c r="D8" s="22"/>
      <c r="E8" s="22"/>
      <c r="F8" s="22"/>
      <c r="G8" s="22"/>
      <c r="H8" s="22"/>
      <c r="I8" s="22"/>
      <c r="J8" s="23"/>
      <c r="K8" s="3"/>
    </row>
    <row r="9" spans="1:11" ht="1.5" customHeight="1" x14ac:dyDescent="0.25">
      <c r="A9" s="27"/>
      <c r="B9" s="28"/>
      <c r="C9" s="28"/>
      <c r="D9" s="28"/>
      <c r="E9" s="28"/>
      <c r="F9" s="28"/>
      <c r="G9" s="28"/>
      <c r="H9" s="28"/>
      <c r="I9" s="28"/>
      <c r="J9" s="29"/>
      <c r="K9" s="3"/>
    </row>
    <row r="10" spans="1:11" x14ac:dyDescent="0.25">
      <c r="A10" s="30" t="s">
        <v>4</v>
      </c>
      <c r="B10" s="31"/>
      <c r="C10" s="31"/>
      <c r="D10" s="31"/>
      <c r="E10" s="31"/>
      <c r="F10" s="31"/>
      <c r="G10" s="31"/>
      <c r="H10" s="31"/>
      <c r="I10" s="31"/>
      <c r="J10" s="32"/>
      <c r="K10" s="3"/>
    </row>
    <row r="11" spans="1:11" ht="15.75" x14ac:dyDescent="0.25">
      <c r="A11" s="33" t="s">
        <v>5</v>
      </c>
      <c r="B11" s="34"/>
      <c r="C11" s="34"/>
      <c r="D11" s="34"/>
      <c r="E11" s="34"/>
      <c r="F11" s="34"/>
      <c r="G11" s="34"/>
      <c r="H11" s="34"/>
      <c r="I11" s="34"/>
      <c r="J11" s="35"/>
      <c r="K11" s="3"/>
    </row>
    <row r="12" spans="1:11" x14ac:dyDescent="0.25">
      <c r="A12" s="27"/>
      <c r="B12" s="28"/>
      <c r="C12" s="28"/>
      <c r="D12" s="28"/>
      <c r="E12" s="28"/>
      <c r="F12" s="28"/>
      <c r="G12" s="28"/>
      <c r="H12" s="28"/>
      <c r="I12" s="28"/>
      <c r="J12" s="29"/>
      <c r="K12" s="3"/>
    </row>
    <row r="13" spans="1:11" ht="15.75" thickBot="1" x14ac:dyDescent="0.3">
      <c r="A13" s="18"/>
      <c r="B13" s="19"/>
      <c r="C13" s="19"/>
      <c r="D13" s="19"/>
      <c r="E13" s="19"/>
      <c r="F13" s="19"/>
      <c r="G13" s="19"/>
      <c r="H13" s="19"/>
      <c r="I13" s="19"/>
      <c r="J13" s="20"/>
      <c r="K13" s="14"/>
    </row>
    <row r="14" spans="1:11" ht="24" customHeight="1" x14ac:dyDescent="0.25">
      <c r="A14" s="11" t="s">
        <v>6</v>
      </c>
      <c r="B14" s="11" t="s">
        <v>7</v>
      </c>
      <c r="C14" s="12" t="s">
        <v>8</v>
      </c>
      <c r="D14" s="12" t="s">
        <v>9</v>
      </c>
      <c r="E14" s="13" t="s">
        <v>10</v>
      </c>
      <c r="F14" s="12" t="s">
        <v>11</v>
      </c>
      <c r="G14" s="12" t="s">
        <v>12</v>
      </c>
      <c r="H14" s="13" t="s">
        <v>13</v>
      </c>
      <c r="I14" s="11" t="s">
        <v>14</v>
      </c>
      <c r="J14" s="11" t="s">
        <v>15</v>
      </c>
      <c r="K14" s="15" t="s">
        <v>33</v>
      </c>
    </row>
    <row r="15" spans="1:11" x14ac:dyDescent="0.25">
      <c r="A15" s="7" t="str">
        <f>TRIM(" SB3001A-1 ")</f>
        <v>SB3001A-1</v>
      </c>
      <c r="B15" s="8" t="s">
        <v>16</v>
      </c>
      <c r="C15" s="8" t="s">
        <v>17</v>
      </c>
      <c r="D15" s="9"/>
      <c r="E15" s="9">
        <v>1</v>
      </c>
      <c r="F15" s="9">
        <v>5</v>
      </c>
      <c r="G15" s="8" t="s">
        <v>18</v>
      </c>
      <c r="H15" s="9">
        <v>54</v>
      </c>
      <c r="I15" s="9" t="s">
        <v>19</v>
      </c>
      <c r="J15" s="9">
        <v>0</v>
      </c>
      <c r="K15" s="16" t="s">
        <v>34</v>
      </c>
    </row>
    <row r="16" spans="1:11" x14ac:dyDescent="0.25">
      <c r="A16" s="7" t="str">
        <f>TRIM(" SB3167-501 ")</f>
        <v>SB3167-501</v>
      </c>
      <c r="B16" s="8" t="s">
        <v>20</v>
      </c>
      <c r="C16" s="8" t="s">
        <v>17</v>
      </c>
      <c r="D16" s="9" t="s">
        <v>21</v>
      </c>
      <c r="E16" s="9">
        <v>12</v>
      </c>
      <c r="F16" s="9">
        <v>1</v>
      </c>
      <c r="G16" s="8" t="s">
        <v>22</v>
      </c>
      <c r="H16" s="9">
        <v>171</v>
      </c>
      <c r="I16" s="9" t="s">
        <v>19</v>
      </c>
      <c r="J16" s="9">
        <v>1</v>
      </c>
      <c r="K16" s="16" t="s">
        <v>34</v>
      </c>
    </row>
    <row r="17" spans="1:11" x14ac:dyDescent="0.25">
      <c r="A17" s="7" t="str">
        <f>TRIM(" SB3168-101 ")</f>
        <v>SB3168-101</v>
      </c>
      <c r="B17" s="8" t="s">
        <v>23</v>
      </c>
      <c r="C17" s="8" t="s">
        <v>17</v>
      </c>
      <c r="D17" s="9" t="s">
        <v>21</v>
      </c>
      <c r="E17" s="9">
        <v>10</v>
      </c>
      <c r="F17" s="9">
        <v>11</v>
      </c>
      <c r="G17" s="8" t="s">
        <v>24</v>
      </c>
      <c r="H17" s="9">
        <v>54</v>
      </c>
      <c r="I17" s="9" t="s">
        <v>19</v>
      </c>
      <c r="J17" s="9">
        <v>0</v>
      </c>
      <c r="K17" s="16" t="s">
        <v>34</v>
      </c>
    </row>
    <row r="18" spans="1:11" x14ac:dyDescent="0.25">
      <c r="A18" s="7" t="str">
        <f>TRIM(" SB3168-201 ")</f>
        <v>SB3168-201</v>
      </c>
      <c r="B18" s="8" t="s">
        <v>25</v>
      </c>
      <c r="C18" s="10">
        <v>42460</v>
      </c>
      <c r="D18" s="9"/>
      <c r="E18" s="9">
        <v>1</v>
      </c>
      <c r="F18" s="9">
        <v>4</v>
      </c>
      <c r="G18" s="8" t="s">
        <v>26</v>
      </c>
      <c r="H18" s="9">
        <v>18</v>
      </c>
      <c r="I18" s="9" t="s">
        <v>19</v>
      </c>
      <c r="J18" s="9">
        <v>0</v>
      </c>
      <c r="K18" s="16" t="s">
        <v>34</v>
      </c>
    </row>
    <row r="19" spans="1:11" x14ac:dyDescent="0.25">
      <c r="A19" s="7" t="str">
        <f>TRIM(" SB3169-501 ")</f>
        <v>SB3169-501</v>
      </c>
      <c r="B19" s="8" t="s">
        <v>20</v>
      </c>
      <c r="C19" s="8" t="s">
        <v>17</v>
      </c>
      <c r="D19" s="9"/>
      <c r="E19" s="9">
        <v>12</v>
      </c>
      <c r="F19" s="9">
        <v>4</v>
      </c>
      <c r="G19" s="8" t="s">
        <v>22</v>
      </c>
      <c r="H19" s="9">
        <v>66</v>
      </c>
      <c r="I19" s="9" t="s">
        <v>19</v>
      </c>
      <c r="J19" s="9">
        <v>0</v>
      </c>
      <c r="K19" s="16" t="s">
        <v>34</v>
      </c>
    </row>
    <row r="20" spans="1:11" x14ac:dyDescent="0.25">
      <c r="A20" s="7" t="str">
        <f>TRIM(" SB3202B-2 ")</f>
        <v>SB3202B-2</v>
      </c>
      <c r="B20" s="8" t="s">
        <v>27</v>
      </c>
      <c r="C20" s="8" t="s">
        <v>17</v>
      </c>
      <c r="D20" s="9"/>
      <c r="E20" s="9">
        <v>2</v>
      </c>
      <c r="F20" s="9">
        <v>11</v>
      </c>
      <c r="G20" s="8" t="s">
        <v>18</v>
      </c>
      <c r="H20" s="9">
        <v>18</v>
      </c>
      <c r="I20" s="9" t="s">
        <v>21</v>
      </c>
      <c r="J20" s="9">
        <v>27</v>
      </c>
      <c r="K20" s="16" t="s">
        <v>34</v>
      </c>
    </row>
    <row r="21" spans="1:11" x14ac:dyDescent="0.25">
      <c r="A21" s="7" t="str">
        <f>TRIM(" SB3206B-1 ")</f>
        <v>SB3206B-1</v>
      </c>
      <c r="B21" s="8" t="s">
        <v>27</v>
      </c>
      <c r="C21" s="8" t="s">
        <v>17</v>
      </c>
      <c r="D21" s="9"/>
      <c r="E21" s="9">
        <v>2</v>
      </c>
      <c r="F21" s="9">
        <v>3</v>
      </c>
      <c r="G21" s="8" t="s">
        <v>18</v>
      </c>
      <c r="H21" s="9">
        <v>2</v>
      </c>
      <c r="I21" s="9" t="s">
        <v>21</v>
      </c>
      <c r="J21" s="9">
        <v>3</v>
      </c>
      <c r="K21" s="16" t="s">
        <v>34</v>
      </c>
    </row>
    <row r="22" spans="1:11" x14ac:dyDescent="0.25">
      <c r="A22" s="7" t="str">
        <f>TRIM(" SB3208A-2 ")</f>
        <v>SB3208A-2</v>
      </c>
      <c r="B22" s="8" t="s">
        <v>16</v>
      </c>
      <c r="C22" s="8" t="s">
        <v>17</v>
      </c>
      <c r="D22" s="9"/>
      <c r="E22" s="9">
        <v>4</v>
      </c>
      <c r="F22" s="9">
        <v>5</v>
      </c>
      <c r="G22" s="8" t="s">
        <v>18</v>
      </c>
      <c r="H22" s="9">
        <v>24</v>
      </c>
      <c r="I22" s="9" t="s">
        <v>19</v>
      </c>
      <c r="J22" s="9">
        <v>0</v>
      </c>
      <c r="K22" s="16" t="s">
        <v>34</v>
      </c>
    </row>
    <row r="23" spans="1:11" x14ac:dyDescent="0.25">
      <c r="A23" s="7" t="str">
        <f>TRIM(" SB3217-101 ")</f>
        <v>SB3217-101</v>
      </c>
      <c r="B23" s="8" t="s">
        <v>27</v>
      </c>
      <c r="C23" s="10">
        <v>42461</v>
      </c>
      <c r="D23" s="9" t="s">
        <v>21</v>
      </c>
      <c r="E23" s="9">
        <v>12</v>
      </c>
      <c r="F23" s="9">
        <v>6</v>
      </c>
      <c r="G23" s="8" t="s">
        <v>18</v>
      </c>
      <c r="H23" s="9">
        <v>1318</v>
      </c>
      <c r="I23" s="9" t="s">
        <v>19</v>
      </c>
      <c r="J23" s="9">
        <v>3</v>
      </c>
      <c r="K23" s="16" t="s">
        <v>34</v>
      </c>
    </row>
    <row r="24" spans="1:11" x14ac:dyDescent="0.25">
      <c r="A24" s="7" t="str">
        <f>TRIM(" SB3218-201 ")</f>
        <v>SB3218-201</v>
      </c>
      <c r="B24" s="8" t="s">
        <v>28</v>
      </c>
      <c r="C24" s="8" t="s">
        <v>17</v>
      </c>
      <c r="D24" s="9"/>
      <c r="E24" s="9">
        <v>5</v>
      </c>
      <c r="F24" s="9">
        <v>4</v>
      </c>
      <c r="G24" s="8" t="s">
        <v>18</v>
      </c>
      <c r="H24" s="9">
        <v>33</v>
      </c>
      <c r="I24" s="9" t="s">
        <v>19</v>
      </c>
      <c r="J24" s="9">
        <v>0</v>
      </c>
      <c r="K24" s="16" t="s">
        <v>34</v>
      </c>
    </row>
    <row r="25" spans="1:11" x14ac:dyDescent="0.25">
      <c r="A25" s="7" t="str">
        <f>TRIM(" SB3220-201 ")</f>
        <v>SB3220-201</v>
      </c>
      <c r="B25" s="8" t="s">
        <v>28</v>
      </c>
      <c r="C25" s="8" t="s">
        <v>17</v>
      </c>
      <c r="D25" s="9"/>
      <c r="E25" s="9">
        <v>18</v>
      </c>
      <c r="F25" s="9">
        <v>16</v>
      </c>
      <c r="G25" s="8" t="s">
        <v>26</v>
      </c>
      <c r="H25" s="9">
        <v>286</v>
      </c>
      <c r="I25" s="9" t="s">
        <v>19</v>
      </c>
      <c r="J25" s="9">
        <v>2</v>
      </c>
      <c r="K25" s="16" t="s">
        <v>34</v>
      </c>
    </row>
    <row r="26" spans="1:11" x14ac:dyDescent="0.25">
      <c r="A26" s="7" t="str">
        <f>TRIM(" SB3223-501 ")</f>
        <v>SB3223-501</v>
      </c>
      <c r="B26" s="8" t="s">
        <v>29</v>
      </c>
      <c r="C26" s="8" t="s">
        <v>17</v>
      </c>
      <c r="D26" s="9" t="s">
        <v>21</v>
      </c>
      <c r="E26" s="9">
        <v>1</v>
      </c>
      <c r="F26" s="9">
        <v>1</v>
      </c>
      <c r="G26" s="8" t="s">
        <v>26</v>
      </c>
      <c r="H26" s="9">
        <v>121</v>
      </c>
      <c r="I26" s="9" t="s">
        <v>19</v>
      </c>
      <c r="J26" s="9">
        <v>0</v>
      </c>
      <c r="K26" s="16" t="s">
        <v>34</v>
      </c>
    </row>
    <row r="27" spans="1:11" x14ac:dyDescent="0.25">
      <c r="A27" s="7" t="str">
        <f>TRIM(" SB3262B-1 ")</f>
        <v>SB3262B-1</v>
      </c>
      <c r="B27" s="8" t="s">
        <v>27</v>
      </c>
      <c r="C27" s="8" t="s">
        <v>17</v>
      </c>
      <c r="D27" s="9"/>
      <c r="E27" s="9">
        <v>1</v>
      </c>
      <c r="F27" s="9">
        <v>6</v>
      </c>
      <c r="G27" s="8" t="s">
        <v>18</v>
      </c>
      <c r="H27" s="9">
        <v>36</v>
      </c>
      <c r="I27" s="9" t="s">
        <v>19</v>
      </c>
      <c r="J27" s="9">
        <v>0</v>
      </c>
      <c r="K27" s="16" t="s">
        <v>34</v>
      </c>
    </row>
    <row r="28" spans="1:11" x14ac:dyDescent="0.25">
      <c r="A28" s="7" t="str">
        <f>TRIM(" SB3263-501 ")</f>
        <v>SB3263-501</v>
      </c>
      <c r="B28" s="8" t="s">
        <v>20</v>
      </c>
      <c r="C28" s="8" t="s">
        <v>17</v>
      </c>
      <c r="D28" s="9"/>
      <c r="E28" s="9">
        <v>1</v>
      </c>
      <c r="F28" s="9">
        <v>1</v>
      </c>
      <c r="G28" s="8" t="s">
        <v>22</v>
      </c>
      <c r="H28" s="9">
        <v>1</v>
      </c>
      <c r="I28" s="9" t="s">
        <v>19</v>
      </c>
      <c r="J28" s="9">
        <v>1</v>
      </c>
      <c r="K28" s="16" t="s">
        <v>34</v>
      </c>
    </row>
    <row r="29" spans="1:11" x14ac:dyDescent="0.25">
      <c r="A29" s="7" t="str">
        <f>TRIM(" SB3264-101 ")</f>
        <v>SB3264-101</v>
      </c>
      <c r="B29" s="8" t="s">
        <v>30</v>
      </c>
      <c r="C29" s="8" t="s">
        <v>17</v>
      </c>
      <c r="D29" s="9"/>
      <c r="E29" s="9">
        <v>6</v>
      </c>
      <c r="F29" s="9">
        <v>3</v>
      </c>
      <c r="G29" s="8" t="s">
        <v>18</v>
      </c>
      <c r="H29" s="9">
        <v>28</v>
      </c>
      <c r="I29" s="9" t="s">
        <v>19</v>
      </c>
      <c r="J29" s="9">
        <v>0</v>
      </c>
      <c r="K29" s="16" t="s">
        <v>34</v>
      </c>
    </row>
    <row r="30" spans="1:11" x14ac:dyDescent="0.25">
      <c r="A30" s="7" t="str">
        <f>TRIM(" SB3264-102 ")</f>
        <v>SB3264-102</v>
      </c>
      <c r="B30" s="8" t="s">
        <v>30</v>
      </c>
      <c r="C30" s="10">
        <v>42461</v>
      </c>
      <c r="D30" s="9"/>
      <c r="E30" s="9">
        <v>1</v>
      </c>
      <c r="F30" s="9">
        <v>4</v>
      </c>
      <c r="G30" s="8" t="s">
        <v>26</v>
      </c>
      <c r="H30" s="9">
        <v>46</v>
      </c>
      <c r="I30" s="9" t="s">
        <v>19</v>
      </c>
      <c r="J30" s="9">
        <v>7</v>
      </c>
      <c r="K30" s="16" t="s">
        <v>34</v>
      </c>
    </row>
    <row r="31" spans="1:11" x14ac:dyDescent="0.25">
      <c r="A31" s="7" t="str">
        <f>TRIM(" SB3264-202 ")</f>
        <v>SB3264-202</v>
      </c>
      <c r="B31" s="8" t="s">
        <v>28</v>
      </c>
      <c r="C31" s="8" t="s">
        <v>17</v>
      </c>
      <c r="D31" s="9"/>
      <c r="E31" s="9">
        <v>1</v>
      </c>
      <c r="F31" s="9">
        <v>6</v>
      </c>
      <c r="G31" s="8" t="s">
        <v>22</v>
      </c>
      <c r="H31" s="9">
        <v>32</v>
      </c>
      <c r="I31" s="9" t="s">
        <v>19</v>
      </c>
      <c r="J31" s="9">
        <v>2</v>
      </c>
      <c r="K31" s="16" t="s">
        <v>34</v>
      </c>
    </row>
    <row r="32" spans="1:11" x14ac:dyDescent="0.25">
      <c r="A32" s="7" t="str">
        <f>TRIM(" SB3268-501 ")</f>
        <v>SB3268-501</v>
      </c>
      <c r="B32" s="8" t="s">
        <v>29</v>
      </c>
      <c r="C32" s="8" t="s">
        <v>17</v>
      </c>
      <c r="D32" s="9" t="s">
        <v>21</v>
      </c>
      <c r="E32" s="9">
        <v>13</v>
      </c>
      <c r="F32" s="9">
        <v>1</v>
      </c>
      <c r="G32" s="8" t="s">
        <v>24</v>
      </c>
      <c r="H32" s="9">
        <v>105</v>
      </c>
      <c r="I32" s="9" t="s">
        <v>19</v>
      </c>
      <c r="J32" s="9">
        <v>0</v>
      </c>
      <c r="K32" s="16" t="s">
        <v>34</v>
      </c>
    </row>
    <row r="33" spans="1:11" x14ac:dyDescent="0.25">
      <c r="A33" s="7" t="str">
        <f>TRIM(" SB3304-102 ")</f>
        <v>SB3304-102</v>
      </c>
      <c r="B33" s="8" t="s">
        <v>27</v>
      </c>
      <c r="C33" s="8" t="s">
        <v>17</v>
      </c>
      <c r="D33" s="9"/>
      <c r="E33" s="9">
        <v>1</v>
      </c>
      <c r="F33" s="9">
        <v>4</v>
      </c>
      <c r="G33" s="8" t="s">
        <v>22</v>
      </c>
      <c r="H33" s="9">
        <v>43</v>
      </c>
      <c r="I33" s="9" t="s">
        <v>19</v>
      </c>
      <c r="J33" s="9">
        <v>8</v>
      </c>
      <c r="K33" s="16" t="s">
        <v>34</v>
      </c>
    </row>
    <row r="34" spans="1:11" x14ac:dyDescent="0.25">
      <c r="A34" s="7" t="str">
        <f>TRIM(" SB3313-102 ")</f>
        <v>SB3313-102</v>
      </c>
      <c r="B34" s="8" t="s">
        <v>30</v>
      </c>
      <c r="C34" s="8" t="s">
        <v>17</v>
      </c>
      <c r="D34" s="9" t="s">
        <v>21</v>
      </c>
      <c r="E34" s="9">
        <v>6</v>
      </c>
      <c r="F34" s="9">
        <v>2</v>
      </c>
      <c r="G34" s="8" t="s">
        <v>24</v>
      </c>
      <c r="H34" s="9">
        <v>638</v>
      </c>
      <c r="I34" s="9" t="s">
        <v>19</v>
      </c>
      <c r="J34" s="9">
        <v>0</v>
      </c>
      <c r="K34" s="16" t="s">
        <v>34</v>
      </c>
    </row>
    <row r="35" spans="1:11" x14ac:dyDescent="0.25">
      <c r="A35" s="7" t="str">
        <f>TRIM(" SB3313-202 ")</f>
        <v>SB3313-202</v>
      </c>
      <c r="B35" s="8" t="s">
        <v>28</v>
      </c>
      <c r="C35" s="8" t="s">
        <v>17</v>
      </c>
      <c r="D35" s="9" t="s">
        <v>21</v>
      </c>
      <c r="E35" s="9">
        <v>18</v>
      </c>
      <c r="F35" s="9">
        <v>5</v>
      </c>
      <c r="G35" s="8" t="s">
        <v>24</v>
      </c>
      <c r="H35" s="9">
        <v>640</v>
      </c>
      <c r="I35" s="9" t="s">
        <v>19</v>
      </c>
      <c r="J35" s="9">
        <v>0</v>
      </c>
      <c r="K35" s="16" t="s">
        <v>34</v>
      </c>
    </row>
    <row r="36" spans="1:11" x14ac:dyDescent="0.25">
      <c r="A36" s="7" t="str">
        <f>TRIM(" SB3354-101 ")</f>
        <v>SB3354-101</v>
      </c>
      <c r="B36" s="8" t="s">
        <v>30</v>
      </c>
      <c r="C36" s="10">
        <v>42458</v>
      </c>
      <c r="D36" s="9" t="s">
        <v>21</v>
      </c>
      <c r="E36" s="9">
        <v>21</v>
      </c>
      <c r="F36" s="9">
        <v>4</v>
      </c>
      <c r="G36" s="8" t="s">
        <v>24</v>
      </c>
      <c r="H36" s="9">
        <v>1240</v>
      </c>
      <c r="I36" s="9" t="s">
        <v>19</v>
      </c>
      <c r="J36" s="9">
        <v>0</v>
      </c>
      <c r="K36" s="16" t="s">
        <v>34</v>
      </c>
    </row>
    <row r="37" spans="1:11" x14ac:dyDescent="0.25">
      <c r="A37" s="7" t="str">
        <f>TRIM(" SB3358-501 ")</f>
        <v>SB3358-501</v>
      </c>
      <c r="B37" s="8" t="s">
        <v>31</v>
      </c>
      <c r="C37" s="8" t="s">
        <v>17</v>
      </c>
      <c r="D37" s="9"/>
      <c r="E37" s="9">
        <v>5</v>
      </c>
      <c r="F37" s="9">
        <v>1</v>
      </c>
      <c r="G37" s="8" t="s">
        <v>26</v>
      </c>
      <c r="H37" s="9">
        <v>5</v>
      </c>
      <c r="I37" s="9" t="s">
        <v>19</v>
      </c>
      <c r="J37" s="9">
        <v>0</v>
      </c>
      <c r="K37" s="16" t="s">
        <v>34</v>
      </c>
    </row>
    <row r="38" spans="1:11" x14ac:dyDescent="0.25">
      <c r="A38" s="7" t="str">
        <f>TRIM(" SB3409-101 ")</f>
        <v>SB3409-101</v>
      </c>
      <c r="B38" s="8" t="s">
        <v>27</v>
      </c>
      <c r="C38" s="8" t="s">
        <v>17</v>
      </c>
      <c r="D38" s="9" t="s">
        <v>21</v>
      </c>
      <c r="E38" s="9">
        <v>8</v>
      </c>
      <c r="F38" s="9">
        <v>1</v>
      </c>
      <c r="G38" s="8" t="s">
        <v>24</v>
      </c>
      <c r="H38" s="9">
        <v>340</v>
      </c>
      <c r="I38" s="9" t="s">
        <v>19</v>
      </c>
      <c r="J38" s="9">
        <v>0</v>
      </c>
      <c r="K38" s="16" t="s">
        <v>34</v>
      </c>
    </row>
    <row r="39" spans="1:11" x14ac:dyDescent="0.25">
      <c r="A39" s="7" t="str">
        <f>TRIM(" SB3409-201 ")</f>
        <v>SB3409-201</v>
      </c>
      <c r="B39" s="8" t="s">
        <v>27</v>
      </c>
      <c r="C39" s="8" t="s">
        <v>17</v>
      </c>
      <c r="D39" s="9" t="s">
        <v>21</v>
      </c>
      <c r="E39" s="9">
        <v>3</v>
      </c>
      <c r="F39" s="9">
        <v>1</v>
      </c>
      <c r="G39" s="8" t="s">
        <v>24</v>
      </c>
      <c r="H39" s="9">
        <v>296</v>
      </c>
      <c r="I39" s="9" t="s">
        <v>19</v>
      </c>
      <c r="J39" s="9">
        <v>0</v>
      </c>
      <c r="K39" s="16" t="s">
        <v>34</v>
      </c>
    </row>
    <row r="40" spans="1:11" x14ac:dyDescent="0.25">
      <c r="A40" s="7" t="str">
        <f>TRIM(" SB3412-501 ")</f>
        <v>SB3412-501</v>
      </c>
      <c r="B40" s="8" t="s">
        <v>30</v>
      </c>
      <c r="C40" s="8" t="s">
        <v>17</v>
      </c>
      <c r="D40" s="9"/>
      <c r="E40" s="9">
        <v>1</v>
      </c>
      <c r="F40" s="9">
        <v>1</v>
      </c>
      <c r="G40" s="8" t="s">
        <v>26</v>
      </c>
      <c r="H40" s="9">
        <v>3</v>
      </c>
      <c r="I40" s="9" t="s">
        <v>19</v>
      </c>
      <c r="J40" s="9">
        <v>0</v>
      </c>
      <c r="K40" s="16" t="s">
        <v>34</v>
      </c>
    </row>
    <row r="41" spans="1:11" x14ac:dyDescent="0.25">
      <c r="A41" s="7" t="str">
        <f>TRIM(" SB3501-103 ")</f>
        <v>SB3501-103</v>
      </c>
      <c r="B41" s="8" t="s">
        <v>27</v>
      </c>
      <c r="C41" s="8" t="s">
        <v>17</v>
      </c>
      <c r="D41" s="9"/>
      <c r="E41" s="9">
        <v>6</v>
      </c>
      <c r="F41" s="9">
        <v>2</v>
      </c>
      <c r="G41" s="8" t="s">
        <v>22</v>
      </c>
      <c r="H41" s="9">
        <v>6</v>
      </c>
      <c r="I41" s="9" t="s">
        <v>21</v>
      </c>
      <c r="J41" s="9">
        <v>0</v>
      </c>
      <c r="K41" s="16" t="s">
        <v>34</v>
      </c>
    </row>
    <row r="42" spans="1:11" x14ac:dyDescent="0.25">
      <c r="A42" s="7" t="str">
        <f>TRIM(" SB3504-102 ")</f>
        <v>SB3504-102</v>
      </c>
      <c r="B42" s="8" t="s">
        <v>27</v>
      </c>
      <c r="C42" s="8" t="s">
        <v>17</v>
      </c>
      <c r="D42" s="9" t="s">
        <v>21</v>
      </c>
      <c r="E42" s="9">
        <v>2</v>
      </c>
      <c r="F42" s="9">
        <v>2</v>
      </c>
      <c r="G42" s="8" t="s">
        <v>26</v>
      </c>
      <c r="H42" s="9">
        <v>332</v>
      </c>
      <c r="I42" s="9" t="s">
        <v>19</v>
      </c>
      <c r="J42" s="9">
        <v>0</v>
      </c>
      <c r="K42" s="16" t="s">
        <v>34</v>
      </c>
    </row>
    <row r="43" spans="1:11" x14ac:dyDescent="0.25">
      <c r="A43" s="7" t="str">
        <f>TRIM(" SB3504-202 ")</f>
        <v>SB3504-202</v>
      </c>
      <c r="B43" s="8" t="s">
        <v>27</v>
      </c>
      <c r="C43" s="10">
        <v>42453</v>
      </c>
      <c r="D43" s="9" t="s">
        <v>21</v>
      </c>
      <c r="E43" s="9">
        <v>4</v>
      </c>
      <c r="F43" s="9">
        <v>5</v>
      </c>
      <c r="G43" s="8" t="s">
        <v>26</v>
      </c>
      <c r="H43" s="9">
        <v>294</v>
      </c>
      <c r="I43" s="9" t="s">
        <v>19</v>
      </c>
      <c r="J43" s="9">
        <v>0</v>
      </c>
      <c r="K43" s="16" t="s">
        <v>34</v>
      </c>
    </row>
    <row r="44" spans="1:11" x14ac:dyDescent="0.25">
      <c r="A44" s="7" t="str">
        <f>TRIM(" SB3506A-1 ")</f>
        <v>SB3506A-1</v>
      </c>
      <c r="B44" s="8" t="s">
        <v>16</v>
      </c>
      <c r="C44" s="8" t="s">
        <v>17</v>
      </c>
      <c r="D44" s="9"/>
      <c r="E44" s="9">
        <v>1</v>
      </c>
      <c r="F44" s="9">
        <v>4</v>
      </c>
      <c r="G44" s="8" t="s">
        <v>22</v>
      </c>
      <c r="H44" s="9">
        <v>1</v>
      </c>
      <c r="I44" s="9" t="s">
        <v>19</v>
      </c>
      <c r="J44" s="9">
        <v>0</v>
      </c>
      <c r="K44" s="16" t="s">
        <v>34</v>
      </c>
    </row>
    <row r="45" spans="1:11" x14ac:dyDescent="0.25">
      <c r="A45" s="7" t="str">
        <f>TRIM(" SB3508-501 ")</f>
        <v>SB3508-501</v>
      </c>
      <c r="B45" s="8" t="s">
        <v>31</v>
      </c>
      <c r="C45" s="8" t="s">
        <v>17</v>
      </c>
      <c r="D45" s="9"/>
      <c r="E45" s="9">
        <v>5</v>
      </c>
      <c r="F45" s="9">
        <v>1</v>
      </c>
      <c r="G45" s="8" t="s">
        <v>26</v>
      </c>
      <c r="H45" s="9">
        <v>5</v>
      </c>
      <c r="I45" s="9" t="s">
        <v>19</v>
      </c>
      <c r="J45" s="9">
        <v>0</v>
      </c>
      <c r="K45" s="16" t="s">
        <v>34</v>
      </c>
    </row>
    <row r="46" spans="1:11" x14ac:dyDescent="0.25">
      <c r="A46" s="7" t="str">
        <f>TRIM(" SB3509-501 ")</f>
        <v>SB3509-501</v>
      </c>
      <c r="B46" s="8" t="s">
        <v>31</v>
      </c>
      <c r="C46" s="8" t="s">
        <v>17</v>
      </c>
      <c r="D46" s="9"/>
      <c r="E46" s="9">
        <v>3</v>
      </c>
      <c r="F46" s="9">
        <v>1</v>
      </c>
      <c r="G46" s="8" t="s">
        <v>26</v>
      </c>
      <c r="H46" s="9">
        <v>3</v>
      </c>
      <c r="I46" s="9" t="s">
        <v>19</v>
      </c>
      <c r="J46" s="9">
        <v>0</v>
      </c>
      <c r="K46" s="16" t="s">
        <v>34</v>
      </c>
    </row>
    <row r="47" spans="1:11" x14ac:dyDescent="0.25">
      <c r="A47" s="7" t="str">
        <f>TRIM(" SB3510-501 ")</f>
        <v>SB3510-501</v>
      </c>
      <c r="B47" s="8" t="s">
        <v>31</v>
      </c>
      <c r="C47" s="8" t="s">
        <v>17</v>
      </c>
      <c r="D47" s="9"/>
      <c r="E47" s="9">
        <v>3</v>
      </c>
      <c r="F47" s="9">
        <v>1</v>
      </c>
      <c r="G47" s="8" t="s">
        <v>26</v>
      </c>
      <c r="H47" s="9">
        <v>3</v>
      </c>
      <c r="I47" s="9" t="s">
        <v>19</v>
      </c>
      <c r="J47" s="9">
        <v>0</v>
      </c>
      <c r="K47" s="16" t="s">
        <v>34</v>
      </c>
    </row>
    <row r="48" spans="1:11" x14ac:dyDescent="0.25">
      <c r="A48" s="7" t="str">
        <f>TRIM(" SB3609-101 ")</f>
        <v>SB3609-101</v>
      </c>
      <c r="B48" s="8" t="s">
        <v>27</v>
      </c>
      <c r="C48" s="10">
        <v>42458</v>
      </c>
      <c r="D48" s="9"/>
      <c r="E48" s="9">
        <v>3</v>
      </c>
      <c r="F48" s="9">
        <v>1</v>
      </c>
      <c r="G48" s="8" t="s">
        <v>18</v>
      </c>
      <c r="H48" s="9">
        <v>36</v>
      </c>
      <c r="I48" s="9" t="s">
        <v>19</v>
      </c>
      <c r="J48" s="9">
        <v>0</v>
      </c>
      <c r="K48" s="16" t="s">
        <v>34</v>
      </c>
    </row>
    <row r="49" spans="1:11" x14ac:dyDescent="0.25">
      <c r="A49" s="7" t="str">
        <f>TRIM(" SB3609-201 ")</f>
        <v>SB3609-201</v>
      </c>
      <c r="B49" s="8" t="s">
        <v>27</v>
      </c>
      <c r="C49" s="10">
        <v>42461</v>
      </c>
      <c r="D49" s="9"/>
      <c r="E49" s="9">
        <v>1</v>
      </c>
      <c r="F49" s="9">
        <v>2</v>
      </c>
      <c r="G49" s="8" t="s">
        <v>18</v>
      </c>
      <c r="H49" s="9">
        <v>29</v>
      </c>
      <c r="I49" s="9" t="s">
        <v>19</v>
      </c>
      <c r="J49" s="9">
        <v>9</v>
      </c>
      <c r="K49" s="16" t="s">
        <v>34</v>
      </c>
    </row>
    <row r="50" spans="1:11" x14ac:dyDescent="0.25">
      <c r="A50" s="7" t="str">
        <f>TRIM(" SB3611-201 ")</f>
        <v>SB3611-201</v>
      </c>
      <c r="B50" s="8" t="s">
        <v>27</v>
      </c>
      <c r="C50" s="8" t="s">
        <v>17</v>
      </c>
      <c r="D50" s="9"/>
      <c r="E50" s="9">
        <v>2</v>
      </c>
      <c r="F50" s="9">
        <v>3</v>
      </c>
      <c r="G50" s="8" t="s">
        <v>18</v>
      </c>
      <c r="H50" s="9">
        <v>14</v>
      </c>
      <c r="I50" s="9" t="s">
        <v>19</v>
      </c>
      <c r="J50" s="9">
        <v>1</v>
      </c>
      <c r="K50" s="16" t="s">
        <v>34</v>
      </c>
    </row>
    <row r="51" spans="1:11" x14ac:dyDescent="0.25">
      <c r="A51" s="7" t="str">
        <f>TRIM(" SB3612-102 ")</f>
        <v>SB3612-102</v>
      </c>
      <c r="B51" s="8" t="s">
        <v>30</v>
      </c>
      <c r="C51" s="8" t="s">
        <v>17</v>
      </c>
      <c r="D51" s="9" t="s">
        <v>21</v>
      </c>
      <c r="E51" s="9">
        <v>30</v>
      </c>
      <c r="F51" s="9">
        <v>1</v>
      </c>
      <c r="G51" s="8" t="s">
        <v>24</v>
      </c>
      <c r="H51" s="9">
        <v>677</v>
      </c>
      <c r="I51" s="9" t="s">
        <v>19</v>
      </c>
      <c r="J51" s="9">
        <v>0</v>
      </c>
      <c r="K51" s="16" t="s">
        <v>34</v>
      </c>
    </row>
    <row r="52" spans="1:11" x14ac:dyDescent="0.25">
      <c r="A52" s="7" t="str">
        <f>TRIM(" SB3620-101 ")</f>
        <v>SB3620-101</v>
      </c>
      <c r="B52" s="8" t="s">
        <v>30</v>
      </c>
      <c r="C52" s="8" t="s">
        <v>17</v>
      </c>
      <c r="D52" s="9" t="s">
        <v>21</v>
      </c>
      <c r="E52" s="9">
        <v>24</v>
      </c>
      <c r="F52" s="9">
        <v>1</v>
      </c>
      <c r="G52" s="8" t="s">
        <v>24</v>
      </c>
      <c r="H52" s="9">
        <v>90</v>
      </c>
      <c r="I52" s="9" t="s">
        <v>19</v>
      </c>
      <c r="J52" s="9">
        <v>0</v>
      </c>
      <c r="K52" s="16" t="s">
        <v>34</v>
      </c>
    </row>
    <row r="53" spans="1:11" x14ac:dyDescent="0.25">
      <c r="A53" s="7" t="str">
        <f>TRIM(" SB3625-501 ")</f>
        <v>SB3625-501</v>
      </c>
      <c r="B53" s="8" t="s">
        <v>32</v>
      </c>
      <c r="C53" s="8" t="s">
        <v>17</v>
      </c>
      <c r="D53" s="9"/>
      <c r="E53" s="9">
        <v>5</v>
      </c>
      <c r="F53" s="9">
        <v>1</v>
      </c>
      <c r="G53" s="8" t="s">
        <v>26</v>
      </c>
      <c r="H53" s="9">
        <v>5</v>
      </c>
      <c r="I53" s="9" t="s">
        <v>19</v>
      </c>
      <c r="J53" s="9">
        <v>1</v>
      </c>
      <c r="K53" s="17" t="s">
        <v>34</v>
      </c>
    </row>
  </sheetData>
  <mergeCells count="7">
    <mergeCell ref="A13:J13"/>
    <mergeCell ref="A8:J8"/>
    <mergeCell ref="A2:J2"/>
    <mergeCell ref="A9:J9"/>
    <mergeCell ref="A10:J10"/>
    <mergeCell ref="A11:J11"/>
    <mergeCell ref="A12:J12"/>
  </mergeCells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2049" r:id="rId3" name="Control 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1</xdr:row>
                <xdr:rowOff>38100</xdr:rowOff>
              </to>
            </anchor>
          </controlPr>
        </control>
      </mc:Choice>
      <mc:Fallback>
        <control shapeId="2049" r:id="rId3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P_PickListExcel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Supplier Delivery System</dc:title>
  <dc:creator>Cattell, Zachary</dc:creator>
  <cp:lastModifiedBy>Cavanaugh, James (Jim)</cp:lastModifiedBy>
  <dcterms:created xsi:type="dcterms:W3CDTF">2016-03-23T12:28:48Z</dcterms:created>
  <dcterms:modified xsi:type="dcterms:W3CDTF">2016-03-25T18:21:55Z</dcterms:modified>
</cp:coreProperties>
</file>