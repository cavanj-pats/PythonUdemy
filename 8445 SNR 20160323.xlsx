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OpenAgedSNR" sheetId="1" r:id="rId1"/>
  </sheets>
  <calcPr calcId="125725"/>
</workbook>
</file>

<file path=xl/calcChain.xml><?xml version="1.0" encoding="utf-8"?>
<calcChain xmlns="http://schemas.openxmlformats.org/spreadsheetml/2006/main">
  <c r="L75" i="1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</calcChain>
</file>

<file path=xl/sharedStrings.xml><?xml version="1.0" encoding="utf-8"?>
<sst xmlns="http://schemas.openxmlformats.org/spreadsheetml/2006/main" count="371" uniqueCount="174">
  <si>
    <t>008445-TIMKEN COMPANY NEW PHILADELPHIA</t>
  </si>
  <si>
    <t>Wednesday, March 23, 2016</t>
  </si>
  <si>
    <t>SNR Maintenance Report</t>
  </si>
  <si>
    <t>Date Shipped</t>
  </si>
  <si>
    <t>SNR Number</t>
  </si>
  <si>
    <t>Material Number</t>
  </si>
  <si>
    <t>Ship Qty</t>
  </si>
  <si>
    <t>Delv To</t>
  </si>
  <si>
    <t>PO/Line</t>
  </si>
  <si>
    <t>PackSlip</t>
  </si>
  <si>
    <t>QA Ship to Stfd</t>
  </si>
  <si>
    <t>D/S</t>
  </si>
  <si>
    <t>Carrier</t>
  </si>
  <si>
    <t>Airbill / Tracking</t>
  </si>
  <si>
    <t>ATS Number</t>
  </si>
  <si>
    <t>Created By</t>
  </si>
  <si>
    <t>00844517268 00844517268</t>
  </si>
  <si>
    <t>SB3504-102</t>
  </si>
  <si>
    <t>8100-MTSR</t>
  </si>
  <si>
    <t>5701002308/00049</t>
  </si>
  <si>
    <t>karen.demattio@timken.com</t>
  </si>
  <si>
    <t>00844517267 00844517267</t>
  </si>
  <si>
    <t>SB3354-201</t>
  </si>
  <si>
    <t>8030-C3P1</t>
  </si>
  <si>
    <t>5701002308/00021</t>
  </si>
  <si>
    <t>00844517266 00844517266</t>
  </si>
  <si>
    <t>SB3353-201</t>
  </si>
  <si>
    <t>5701002308/00042</t>
  </si>
  <si>
    <t>00844517265 00844517265</t>
  </si>
  <si>
    <t>SB3353-101</t>
  </si>
  <si>
    <t>5701002308/00040</t>
  </si>
  <si>
    <t>00844517264 00844517264</t>
  </si>
  <si>
    <t>SB3314-201</t>
  </si>
  <si>
    <t>5701002308/00039</t>
  </si>
  <si>
    <t>00844517263 00844517263</t>
  </si>
  <si>
    <t>SB3312-201</t>
  </si>
  <si>
    <t>5500066627/00018</t>
  </si>
  <si>
    <t>00844517262 00844517262</t>
  </si>
  <si>
    <t>SB3265-201</t>
  </si>
  <si>
    <t>5701002308/00032</t>
  </si>
  <si>
    <t>00844517261 00844517261</t>
  </si>
  <si>
    <t>SB3265-101</t>
  </si>
  <si>
    <t>5701002308/00016</t>
  </si>
  <si>
    <t>00844517260 00844517260</t>
  </si>
  <si>
    <t>SB3220-101</t>
  </si>
  <si>
    <t>5701002308/00001</t>
  </si>
  <si>
    <t>00844517259 00844517259</t>
  </si>
  <si>
    <t>SB3217-201</t>
  </si>
  <si>
    <t>5701002308/00028</t>
  </si>
  <si>
    <t>00844517258 00844517258</t>
  </si>
  <si>
    <t>SB3223-501</t>
  </si>
  <si>
    <t>5500066338/00029</t>
  </si>
  <si>
    <t>00844517257 00844517257</t>
  </si>
  <si>
    <t>00844517256 00844517256</t>
  </si>
  <si>
    <t>SB3219-501</t>
  </si>
  <si>
    <t>8110-MTOR</t>
  </si>
  <si>
    <t>5701003247/00010</t>
  </si>
  <si>
    <t>00844517255 00844517255</t>
  </si>
  <si>
    <t>SB3169-101</t>
  </si>
  <si>
    <t>5500066338/00010</t>
  </si>
  <si>
    <t>00844517254 00844517254</t>
  </si>
  <si>
    <t>SB3165-201</t>
  </si>
  <si>
    <t>5701002308/00019</t>
  </si>
  <si>
    <t>00844517253 00844517253</t>
  </si>
  <si>
    <t>SB3165-101</t>
  </si>
  <si>
    <t>5701002308/00024</t>
  </si>
  <si>
    <t>00844517252 00844517252</t>
  </si>
  <si>
    <t>5701002308/00018</t>
  </si>
  <si>
    <t>00844517251 00844517251</t>
  </si>
  <si>
    <t>SB3609-201</t>
  </si>
  <si>
    <t>5500153811/00019</t>
  </si>
  <si>
    <t>00844517250 00844517250</t>
  </si>
  <si>
    <t>SB3318-101</t>
  </si>
  <si>
    <t>5500066525/00003</t>
  </si>
  <si>
    <t>00844517249 00844517249</t>
  </si>
  <si>
    <t>5701002308/00006</t>
  </si>
  <si>
    <t>00844517248 00844517248</t>
  </si>
  <si>
    <t>00844517247 00844517247</t>
  </si>
  <si>
    <t>00844517246 00844517246</t>
  </si>
  <si>
    <t>SB3266-201</t>
  </si>
  <si>
    <t>5701002308/00034</t>
  </si>
  <si>
    <t>00844517245 00844517245</t>
  </si>
  <si>
    <t>5701002308/00004</t>
  </si>
  <si>
    <t>00844517244 00844517244</t>
  </si>
  <si>
    <t>00844517243 00844517243</t>
  </si>
  <si>
    <t>00844517242 00844517242</t>
  </si>
  <si>
    <t>00844517241 00844517241</t>
  </si>
  <si>
    <t>00844517240 00844517240</t>
  </si>
  <si>
    <t>00844517239 00844517239</t>
  </si>
  <si>
    <t>5701002308/00017</t>
  </si>
  <si>
    <t>00844517238 00844517238</t>
  </si>
  <si>
    <t>00844517237 00844517237</t>
  </si>
  <si>
    <t>SB3266-102</t>
  </si>
  <si>
    <t>5701002308/00003</t>
  </si>
  <si>
    <t>00844517236 00844517236</t>
  </si>
  <si>
    <t>SB3202-501</t>
  </si>
  <si>
    <t>5701003247/00009</t>
  </si>
  <si>
    <t>00844517235 00844517235</t>
  </si>
  <si>
    <t>SB3409-101</t>
  </si>
  <si>
    <t>5701002308/00009</t>
  </si>
  <si>
    <t>luanne.ruth@timken.com</t>
  </si>
  <si>
    <t>00844517234 00844517234</t>
  </si>
  <si>
    <t>SB3314-101</t>
  </si>
  <si>
    <t>5701002308/00005</t>
  </si>
  <si>
    <t>00844517233 00844517233</t>
  </si>
  <si>
    <t>5701002308/00007</t>
  </si>
  <si>
    <t>00844517232 00844517232</t>
  </si>
  <si>
    <t>5701002308/00008</t>
  </si>
  <si>
    <t>00844517231 00844517231</t>
  </si>
  <si>
    <t>00844517230 00844517230</t>
  </si>
  <si>
    <t>SB3261A-1</t>
  </si>
  <si>
    <t>5500153811/00007</t>
  </si>
  <si>
    <t>00844517229 00844517229</t>
  </si>
  <si>
    <t>SB3001B-1</t>
  </si>
  <si>
    <t>5500153811/00002</t>
  </si>
  <si>
    <t>00844517228 00844517228</t>
  </si>
  <si>
    <t>SB3260B-1</t>
  </si>
  <si>
    <t>5500153811/00006</t>
  </si>
  <si>
    <t>00844517227 00844517227</t>
  </si>
  <si>
    <t>SB3261B-1</t>
  </si>
  <si>
    <t>5500153811/00008</t>
  </si>
  <si>
    <t>00844517226 00844517226</t>
  </si>
  <si>
    <t>SB3302A-2</t>
  </si>
  <si>
    <t>5500153811/00012</t>
  </si>
  <si>
    <t>00844517225 00844517225</t>
  </si>
  <si>
    <t>00844517224 00844517224</t>
  </si>
  <si>
    <t>SB3354-202</t>
  </si>
  <si>
    <t>5500066525/00014</t>
  </si>
  <si>
    <t>00844517223 00844517223</t>
  </si>
  <si>
    <t>SB3609-101</t>
  </si>
  <si>
    <t>5500066525/00028</t>
  </si>
  <si>
    <t>00844517222 00844517222</t>
  </si>
  <si>
    <t>5500066510/00002</t>
  </si>
  <si>
    <t>00844517221 00844517221</t>
  </si>
  <si>
    <t>SB3304-202</t>
  </si>
  <si>
    <t>5500066510/00018</t>
  </si>
  <si>
    <t>00844517220 00844517220</t>
  </si>
  <si>
    <t>SB3206B-1</t>
  </si>
  <si>
    <t>5500066338/00017</t>
  </si>
  <si>
    <t>00844517219 00844517219</t>
  </si>
  <si>
    <t>SB3168-201</t>
  </si>
  <si>
    <t>5500066338/00009</t>
  </si>
  <si>
    <t>00844517218 00844517218</t>
  </si>
  <si>
    <t>5500154534/00020</t>
  </si>
  <si>
    <t>00844517217 00844517217</t>
  </si>
  <si>
    <t>00844517216 00844517216</t>
  </si>
  <si>
    <t>SB3409-201</t>
  </si>
  <si>
    <t>5701002308/00010</t>
  </si>
  <si>
    <t>00844517215 00844517215</t>
  </si>
  <si>
    <t>SB3313-102</t>
  </si>
  <si>
    <t>5701002308/00013</t>
  </si>
  <si>
    <t>00844517214 00844517214</t>
  </si>
  <si>
    <t>00844517213 00844517213</t>
  </si>
  <si>
    <t>00844517212 00844517212</t>
  </si>
  <si>
    <t>5701002308/00062</t>
  </si>
  <si>
    <t>00844517211 00844517211</t>
  </si>
  <si>
    <t>00844517210 00844517210</t>
  </si>
  <si>
    <t>00844517209 00844517209</t>
  </si>
  <si>
    <t>00844517208 00844517208</t>
  </si>
  <si>
    <t>00844517199 00844517199</t>
  </si>
  <si>
    <t>00844517198 00844517198</t>
  </si>
  <si>
    <t>00844517197 00844517197</t>
  </si>
  <si>
    <t>00844517196 00844517196</t>
  </si>
  <si>
    <t>SB3507-503</t>
  </si>
  <si>
    <t>5500066525/00044</t>
  </si>
  <si>
    <t>00844517195 00844517195</t>
  </si>
  <si>
    <t>00844517194 00844517194</t>
  </si>
  <si>
    <t>5500154534/00007</t>
  </si>
  <si>
    <t>00844517193 00844517193</t>
  </si>
  <si>
    <t>00844517192 00844517192</t>
  </si>
  <si>
    <t>00844517191 00844517191</t>
  </si>
  <si>
    <t>00844517187 00844517187</t>
  </si>
  <si>
    <t>SB3354-101</t>
  </si>
  <si>
    <t>5701002308/00020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</si>
</sst>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B3A6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20" fillId="34" borderId="0" xfId="0" applyFont="1" applyFill="1" applyAlignment="1">
      <alignment horizontal="center" vertical="center" wrapText="1"/>
    </xf>
    <xf numFmtId="14" fontId="21" fillId="33" borderId="0" xfId="0" applyNumberFormat="1" applyFont="1" applyFill="1" applyAlignment="1">
      <alignment horizontal="left" vertical="top" wrapText="1" indent="1"/>
    </xf>
    <xf numFmtId="0" fontId="21" fillId="33" borderId="0" xfId="0" applyFont="1" applyFill="1" applyAlignment="1">
      <alignment horizontal="left" vertical="top" wrapText="1" indent="1"/>
    </xf>
    <xf numFmtId="0" fontId="21" fillId="33" borderId="0" xfId="0" applyFont="1" applyFill="1" applyAlignment="1">
      <alignment horizontal="left" vertical="top" indent="1"/>
    </xf>
    <xf numFmtId="0" fontId="18" fillId="33" borderId="0" xfId="0" applyFont="1" applyFill="1" applyAlignment="1">
      <alignment horizontal="center" vertical="top" wrapText="1" indent="1"/>
    </xf>
    <xf numFmtId="0" fontId="19" fillId="33" borderId="0" xfId="0" applyFont="1" applyFill="1" applyAlignment="1">
      <alignment horizontal="center" vertical="top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showGridLines="0" tabSelected="1" workbookViewId="0">
      <selection activeCell="B4" sqref="B4"/>
    </sheetView>
  </sheetViews>
  <sheetFormatPr defaultRowHeight="15"/>
  <cols>
    <col min="1" max="1" width="13.85546875" bestFit="1" customWidth="1"/>
    <col min="2" max="2" width="25.28515625" bestFit="1" customWidth="1"/>
    <col min="3" max="3" width="16.7109375" bestFit="1" customWidth="1"/>
    <col min="5" max="5" width="11.7109375" bestFit="1" customWidth="1"/>
    <col min="6" max="6" width="18.28515625" bestFit="1" customWidth="1"/>
    <col min="7" max="7" width="10.28515625" bestFit="1" customWidth="1"/>
    <col min="8" max="8" width="15.85546875" bestFit="1" customWidth="1"/>
    <col min="9" max="9" width="4.5703125" bestFit="1" customWidth="1"/>
    <col min="10" max="10" width="7.85546875" bestFit="1" customWidth="1"/>
    <col min="11" max="11" width="17.28515625" bestFit="1" customWidth="1"/>
    <col min="12" max="12" width="12.7109375" bestFit="1" customWidth="1"/>
    <col min="13" max="13" width="26.28515625" bestFit="1" customWidth="1"/>
  </cols>
  <sheetData>
    <row r="1" spans="1:14" ht="1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4">
      <c r="A5" s="2">
        <v>42452</v>
      </c>
      <c r="B5" s="3" t="s">
        <v>16</v>
      </c>
      <c r="C5" s="3" t="s">
        <v>17</v>
      </c>
      <c r="D5" s="3">
        <v>4</v>
      </c>
      <c r="E5" s="3" t="s">
        <v>18</v>
      </c>
      <c r="F5" s="3" t="s">
        <v>19</v>
      </c>
      <c r="G5" s="3">
        <v>41617357</v>
      </c>
      <c r="H5" s="3"/>
      <c r="I5" s="3"/>
      <c r="J5" s="4"/>
      <c r="K5" s="3"/>
      <c r="L5" s="3" t="str">
        <f>TRIM("0193728 ")</f>
        <v>0193728</v>
      </c>
      <c r="M5" s="3" t="s">
        <v>20</v>
      </c>
    </row>
    <row r="6" spans="1:14">
      <c r="A6" s="2">
        <v>42452</v>
      </c>
      <c r="B6" s="3" t="s">
        <v>21</v>
      </c>
      <c r="C6" s="3" t="s">
        <v>22</v>
      </c>
      <c r="D6" s="3">
        <v>4</v>
      </c>
      <c r="E6" s="3" t="s">
        <v>23</v>
      </c>
      <c r="F6" s="3" t="s">
        <v>24</v>
      </c>
      <c r="G6" s="3">
        <v>41617355</v>
      </c>
      <c r="H6" s="3"/>
      <c r="I6" s="3"/>
      <c r="J6" s="4"/>
      <c r="K6" s="3"/>
      <c r="L6" s="3" t="str">
        <f>TRIM("0193724 ")</f>
        <v>0193724</v>
      </c>
      <c r="M6" s="3" t="s">
        <v>20</v>
      </c>
    </row>
    <row r="7" spans="1:14">
      <c r="A7" s="2">
        <v>42452</v>
      </c>
      <c r="B7" s="3" t="s">
        <v>25</v>
      </c>
      <c r="C7" s="3" t="s">
        <v>26</v>
      </c>
      <c r="D7" s="3">
        <v>5</v>
      </c>
      <c r="E7" s="3" t="s">
        <v>18</v>
      </c>
      <c r="F7" s="3" t="s">
        <v>27</v>
      </c>
      <c r="G7" s="3">
        <v>41617350</v>
      </c>
      <c r="H7" s="3"/>
      <c r="I7" s="3"/>
      <c r="J7" s="4"/>
      <c r="K7" s="3"/>
      <c r="L7" s="3" t="str">
        <f>TRIM("0193705 ")</f>
        <v>0193705</v>
      </c>
      <c r="M7" s="3" t="s">
        <v>20</v>
      </c>
    </row>
    <row r="8" spans="1:14">
      <c r="A8" s="2">
        <v>42452</v>
      </c>
      <c r="B8" s="3" t="s">
        <v>28</v>
      </c>
      <c r="C8" s="3" t="s">
        <v>29</v>
      </c>
      <c r="D8" s="3">
        <v>6</v>
      </c>
      <c r="E8" s="3" t="s">
        <v>18</v>
      </c>
      <c r="F8" s="3" t="s">
        <v>30</v>
      </c>
      <c r="G8" s="3">
        <v>41617349</v>
      </c>
      <c r="H8" s="3"/>
      <c r="I8" s="3"/>
      <c r="J8" s="4"/>
      <c r="K8" s="3"/>
      <c r="L8" s="3" t="str">
        <f>TRIM("0193703 ")</f>
        <v>0193703</v>
      </c>
      <c r="M8" s="3" t="s">
        <v>20</v>
      </c>
    </row>
    <row r="9" spans="1:14">
      <c r="A9" s="2">
        <v>42452</v>
      </c>
      <c r="B9" s="3" t="s">
        <v>31</v>
      </c>
      <c r="C9" s="3" t="s">
        <v>32</v>
      </c>
      <c r="D9" s="3">
        <v>6</v>
      </c>
      <c r="E9" s="3" t="s">
        <v>18</v>
      </c>
      <c r="F9" s="3" t="s">
        <v>33</v>
      </c>
      <c r="G9" s="3">
        <v>41617347</v>
      </c>
      <c r="H9" s="3"/>
      <c r="I9" s="3"/>
      <c r="J9" s="4"/>
      <c r="K9" s="3"/>
      <c r="L9" s="3" t="str">
        <f>TRIM("0193700 ")</f>
        <v>0193700</v>
      </c>
      <c r="M9" s="3" t="s">
        <v>20</v>
      </c>
    </row>
    <row r="10" spans="1:14">
      <c r="A10" s="2">
        <v>42452</v>
      </c>
      <c r="B10" s="3" t="s">
        <v>34</v>
      </c>
      <c r="C10" s="3" t="s">
        <v>35</v>
      </c>
      <c r="D10" s="3">
        <v>1</v>
      </c>
      <c r="E10" s="3" t="s">
        <v>18</v>
      </c>
      <c r="F10" s="3" t="s">
        <v>36</v>
      </c>
      <c r="G10" s="3">
        <v>41617346</v>
      </c>
      <c r="H10" s="3"/>
      <c r="I10" s="3"/>
      <c r="J10" s="4"/>
      <c r="K10" s="3"/>
      <c r="L10" s="3" t="str">
        <f>TRIM("0193690 ")</f>
        <v>0193690</v>
      </c>
      <c r="M10" s="3" t="s">
        <v>20</v>
      </c>
    </row>
    <row r="11" spans="1:14">
      <c r="A11" s="2">
        <v>42452</v>
      </c>
      <c r="B11" s="3" t="s">
        <v>37</v>
      </c>
      <c r="C11" s="3" t="s">
        <v>38</v>
      </c>
      <c r="D11" s="3">
        <v>4</v>
      </c>
      <c r="E11" s="3" t="s">
        <v>18</v>
      </c>
      <c r="F11" s="3" t="s">
        <v>39</v>
      </c>
      <c r="G11" s="3">
        <v>41617343</v>
      </c>
      <c r="H11" s="3"/>
      <c r="I11" s="3"/>
      <c r="J11" s="4"/>
      <c r="K11" s="3"/>
      <c r="L11" s="3" t="str">
        <f>TRIM("0193675 ")</f>
        <v>0193675</v>
      </c>
      <c r="M11" s="3" t="s">
        <v>20</v>
      </c>
    </row>
    <row r="12" spans="1:14">
      <c r="A12" s="2">
        <v>42452</v>
      </c>
      <c r="B12" s="3" t="s">
        <v>40</v>
      </c>
      <c r="C12" s="3" t="s">
        <v>41</v>
      </c>
      <c r="D12" s="3">
        <v>2</v>
      </c>
      <c r="E12" s="3" t="s">
        <v>23</v>
      </c>
      <c r="F12" s="3" t="s">
        <v>42</v>
      </c>
      <c r="G12" s="3">
        <v>41617341</v>
      </c>
      <c r="H12" s="3"/>
      <c r="I12" s="3"/>
      <c r="J12" s="4"/>
      <c r="K12" s="3"/>
      <c r="L12" s="3" t="str">
        <f>TRIM("0193657 ")</f>
        <v>0193657</v>
      </c>
      <c r="M12" s="3" t="s">
        <v>20</v>
      </c>
    </row>
    <row r="13" spans="1:14">
      <c r="A13" s="2">
        <v>42452</v>
      </c>
      <c r="B13" s="3" t="s">
        <v>43</v>
      </c>
      <c r="C13" s="3" t="s">
        <v>44</v>
      </c>
      <c r="D13" s="3">
        <v>1</v>
      </c>
      <c r="E13" s="3" t="s">
        <v>23</v>
      </c>
      <c r="F13" s="3" t="s">
        <v>45</v>
      </c>
      <c r="G13" s="3">
        <v>41617339</v>
      </c>
      <c r="H13" s="3"/>
      <c r="I13" s="3"/>
      <c r="J13" s="4"/>
      <c r="K13" s="3"/>
      <c r="L13" s="3" t="str">
        <f>TRIM("0193654 ")</f>
        <v>0193654</v>
      </c>
      <c r="M13" s="3" t="s">
        <v>20</v>
      </c>
    </row>
    <row r="14" spans="1:14">
      <c r="A14" s="2">
        <v>42451</v>
      </c>
      <c r="B14" s="3" t="s">
        <v>46</v>
      </c>
      <c r="C14" s="3" t="s">
        <v>47</v>
      </c>
      <c r="D14" s="3">
        <v>1</v>
      </c>
      <c r="E14" s="3" t="s">
        <v>18</v>
      </c>
      <c r="F14" s="3" t="s">
        <v>48</v>
      </c>
      <c r="G14" s="3">
        <v>41617336</v>
      </c>
      <c r="H14" s="3"/>
      <c r="I14" s="3"/>
      <c r="J14" s="4"/>
      <c r="K14" s="3"/>
      <c r="L14" s="3" t="str">
        <f>TRIM("0193386 ")</f>
        <v>0193386</v>
      </c>
      <c r="M14" s="3" t="s">
        <v>20</v>
      </c>
    </row>
    <row r="15" spans="1:14">
      <c r="A15" s="2">
        <v>42451</v>
      </c>
      <c r="B15" s="3" t="s">
        <v>49</v>
      </c>
      <c r="C15" s="3" t="s">
        <v>50</v>
      </c>
      <c r="D15" s="3">
        <v>1</v>
      </c>
      <c r="E15" s="3" t="s">
        <v>23</v>
      </c>
      <c r="F15" s="3" t="s">
        <v>51</v>
      </c>
      <c r="G15" s="3">
        <v>41617333</v>
      </c>
      <c r="H15" s="3"/>
      <c r="I15" s="3"/>
      <c r="J15" s="4"/>
      <c r="K15" s="3"/>
      <c r="L15" s="3" t="str">
        <f>TRIM("0193364 ")</f>
        <v>0193364</v>
      </c>
      <c r="M15" s="3" t="s">
        <v>20</v>
      </c>
    </row>
    <row r="16" spans="1:14">
      <c r="A16" s="2">
        <v>42451</v>
      </c>
      <c r="B16" s="3" t="s">
        <v>52</v>
      </c>
      <c r="C16" s="3" t="s">
        <v>50</v>
      </c>
      <c r="D16" s="3">
        <v>1</v>
      </c>
      <c r="E16" s="3" t="s">
        <v>23</v>
      </c>
      <c r="F16" s="3" t="s">
        <v>51</v>
      </c>
      <c r="G16" s="3">
        <v>41617331</v>
      </c>
      <c r="H16" s="3"/>
      <c r="I16" s="3"/>
      <c r="J16" s="4"/>
      <c r="K16" s="3"/>
      <c r="L16" s="3" t="str">
        <f>TRIM("0193364 ")</f>
        <v>0193364</v>
      </c>
      <c r="M16" s="3" t="s">
        <v>20</v>
      </c>
    </row>
    <row r="17" spans="1:13">
      <c r="A17" s="2">
        <v>42451</v>
      </c>
      <c r="B17" s="3" t="s">
        <v>53</v>
      </c>
      <c r="C17" s="3" t="s">
        <v>54</v>
      </c>
      <c r="D17" s="3">
        <v>1</v>
      </c>
      <c r="E17" s="3" t="s">
        <v>55</v>
      </c>
      <c r="F17" s="3" t="s">
        <v>56</v>
      </c>
      <c r="G17" s="3">
        <v>41586209</v>
      </c>
      <c r="H17" s="3"/>
      <c r="I17" s="3"/>
      <c r="J17" s="4"/>
      <c r="K17" s="3"/>
      <c r="L17" s="3" t="str">
        <f>TRIM("0193326 ")</f>
        <v>0193326</v>
      </c>
      <c r="M17" s="3" t="s">
        <v>20</v>
      </c>
    </row>
    <row r="18" spans="1:13">
      <c r="A18" s="2">
        <v>42451</v>
      </c>
      <c r="B18" s="3" t="s">
        <v>57</v>
      </c>
      <c r="C18" s="3" t="s">
        <v>58</v>
      </c>
      <c r="D18" s="3">
        <v>1</v>
      </c>
      <c r="E18" s="3" t="s">
        <v>23</v>
      </c>
      <c r="F18" s="3" t="s">
        <v>59</v>
      </c>
      <c r="G18" s="3">
        <v>41616677</v>
      </c>
      <c r="H18" s="3"/>
      <c r="I18" s="3"/>
      <c r="J18" s="4"/>
      <c r="K18" s="3"/>
      <c r="L18" s="3" t="str">
        <f>TRIM("0193259 ")</f>
        <v>0193259</v>
      </c>
      <c r="M18" s="3" t="s">
        <v>20</v>
      </c>
    </row>
    <row r="19" spans="1:13">
      <c r="A19" s="2">
        <v>42451</v>
      </c>
      <c r="B19" s="3" t="s">
        <v>60</v>
      </c>
      <c r="C19" s="3" t="s">
        <v>61</v>
      </c>
      <c r="D19" s="3">
        <v>28</v>
      </c>
      <c r="E19" s="3" t="s">
        <v>23</v>
      </c>
      <c r="F19" s="3" t="s">
        <v>62</v>
      </c>
      <c r="G19" s="3">
        <v>41616675</v>
      </c>
      <c r="H19" s="3"/>
      <c r="I19" s="3"/>
      <c r="J19" s="4"/>
      <c r="K19" s="3"/>
      <c r="L19" s="3" t="str">
        <f>TRIM("000000000193249")</f>
        <v>000000000193249</v>
      </c>
      <c r="M19" s="3" t="s">
        <v>20</v>
      </c>
    </row>
    <row r="20" spans="1:13">
      <c r="A20" s="2">
        <v>42451</v>
      </c>
      <c r="B20" s="3" t="s">
        <v>63</v>
      </c>
      <c r="C20" s="3" t="s">
        <v>64</v>
      </c>
      <c r="D20" s="3">
        <v>4</v>
      </c>
      <c r="E20" s="3" t="s">
        <v>18</v>
      </c>
      <c r="F20" s="3" t="s">
        <v>65</v>
      </c>
      <c r="G20" s="3">
        <v>41616674</v>
      </c>
      <c r="H20" s="3"/>
      <c r="I20" s="3"/>
      <c r="J20" s="4"/>
      <c r="K20" s="3"/>
      <c r="L20" s="3" t="str">
        <f>TRIM("000000000193245")</f>
        <v>000000000193245</v>
      </c>
      <c r="M20" s="3" t="s">
        <v>20</v>
      </c>
    </row>
    <row r="21" spans="1:13">
      <c r="A21" s="2">
        <v>42451</v>
      </c>
      <c r="B21" s="3" t="s">
        <v>66</v>
      </c>
      <c r="C21" s="3" t="s">
        <v>64</v>
      </c>
      <c r="D21" s="3">
        <v>28</v>
      </c>
      <c r="E21" s="3" t="s">
        <v>23</v>
      </c>
      <c r="F21" s="3" t="s">
        <v>67</v>
      </c>
      <c r="G21" s="3">
        <v>41616672</v>
      </c>
      <c r="H21" s="3"/>
      <c r="I21" s="3"/>
      <c r="J21" s="4"/>
      <c r="K21" s="3"/>
      <c r="L21" s="3" t="str">
        <f>TRIM("000000000193243")</f>
        <v>000000000193243</v>
      </c>
      <c r="M21" s="3" t="s">
        <v>20</v>
      </c>
    </row>
    <row r="22" spans="1:13">
      <c r="A22" s="2">
        <v>42451</v>
      </c>
      <c r="B22" s="3" t="s">
        <v>68</v>
      </c>
      <c r="C22" s="3" t="s">
        <v>69</v>
      </c>
      <c r="D22" s="3">
        <v>2</v>
      </c>
      <c r="E22" s="3" t="s">
        <v>18</v>
      </c>
      <c r="F22" s="3" t="s">
        <v>70</v>
      </c>
      <c r="G22" s="3">
        <v>41615439</v>
      </c>
      <c r="H22" s="3"/>
      <c r="I22" s="3"/>
      <c r="J22" s="4"/>
      <c r="K22" s="3"/>
      <c r="L22" s="3" t="str">
        <f>TRIM("0193222 ")</f>
        <v>0193222</v>
      </c>
      <c r="M22" s="3" t="s">
        <v>20</v>
      </c>
    </row>
    <row r="23" spans="1:13">
      <c r="A23" s="2">
        <v>42451</v>
      </c>
      <c r="B23" s="3" t="s">
        <v>71</v>
      </c>
      <c r="C23" s="3" t="s">
        <v>72</v>
      </c>
      <c r="D23" s="3">
        <v>4</v>
      </c>
      <c r="E23" s="3" t="s">
        <v>23</v>
      </c>
      <c r="F23" s="3" t="s">
        <v>73</v>
      </c>
      <c r="G23" s="3">
        <v>41441949</v>
      </c>
      <c r="H23" s="3"/>
      <c r="I23" s="3"/>
      <c r="J23" s="4"/>
      <c r="K23" s="3"/>
      <c r="L23" s="3" t="str">
        <f>TRIM("000000000193210")</f>
        <v>000000000193210</v>
      </c>
      <c r="M23" s="3" t="s">
        <v>20</v>
      </c>
    </row>
    <row r="24" spans="1:13">
      <c r="A24" s="2">
        <v>42451</v>
      </c>
      <c r="B24" s="3" t="s">
        <v>74</v>
      </c>
      <c r="C24" s="3" t="s">
        <v>32</v>
      </c>
      <c r="D24" s="3">
        <v>2</v>
      </c>
      <c r="E24" s="3" t="s">
        <v>23</v>
      </c>
      <c r="F24" s="3" t="s">
        <v>75</v>
      </c>
      <c r="G24" s="3">
        <v>41615436</v>
      </c>
      <c r="H24" s="3"/>
      <c r="I24" s="3"/>
      <c r="J24" s="4"/>
      <c r="K24" s="3"/>
      <c r="L24" s="3" t="str">
        <f>TRIM("0193161 ")</f>
        <v>0193161</v>
      </c>
      <c r="M24" s="3" t="s">
        <v>20</v>
      </c>
    </row>
    <row r="25" spans="1:13">
      <c r="A25" s="2">
        <v>42451</v>
      </c>
      <c r="B25" s="3" t="s">
        <v>76</v>
      </c>
      <c r="C25" s="3" t="s">
        <v>32</v>
      </c>
      <c r="D25" s="3">
        <v>2</v>
      </c>
      <c r="E25" s="3" t="s">
        <v>23</v>
      </c>
      <c r="F25" s="3" t="s">
        <v>75</v>
      </c>
      <c r="G25" s="3">
        <v>41615435</v>
      </c>
      <c r="H25" s="3"/>
      <c r="I25" s="3"/>
      <c r="J25" s="4"/>
      <c r="K25" s="3"/>
      <c r="L25" s="3" t="str">
        <f>TRIM("0193161 ")</f>
        <v>0193161</v>
      </c>
      <c r="M25" s="3" t="s">
        <v>20</v>
      </c>
    </row>
    <row r="26" spans="1:13">
      <c r="A26" s="2">
        <v>42451</v>
      </c>
      <c r="B26" s="3" t="s">
        <v>77</v>
      </c>
      <c r="C26" s="3" t="s">
        <v>32</v>
      </c>
      <c r="D26" s="3">
        <v>1</v>
      </c>
      <c r="E26" s="3" t="s">
        <v>23</v>
      </c>
      <c r="F26" s="3" t="s">
        <v>75</v>
      </c>
      <c r="G26" s="3">
        <v>41615433</v>
      </c>
      <c r="H26" s="3"/>
      <c r="I26" s="3"/>
      <c r="J26" s="4"/>
      <c r="K26" s="3"/>
      <c r="L26" s="3" t="str">
        <f>TRIM("0193161 ")</f>
        <v>0193161</v>
      </c>
      <c r="M26" s="3" t="s">
        <v>20</v>
      </c>
    </row>
    <row r="27" spans="1:13">
      <c r="A27" s="2">
        <v>42451</v>
      </c>
      <c r="B27" s="3" t="s">
        <v>78</v>
      </c>
      <c r="C27" s="3" t="s">
        <v>79</v>
      </c>
      <c r="D27" s="3">
        <v>14</v>
      </c>
      <c r="E27" s="3" t="s">
        <v>18</v>
      </c>
      <c r="F27" s="3" t="s">
        <v>80</v>
      </c>
      <c r="G27" s="3">
        <v>41610315</v>
      </c>
      <c r="H27" s="3"/>
      <c r="I27" s="3"/>
      <c r="J27" s="4"/>
      <c r="K27" s="3"/>
      <c r="L27" s="3" t="str">
        <f>TRIM("0193138 ")</f>
        <v>0193138</v>
      </c>
      <c r="M27" s="3" t="s">
        <v>20</v>
      </c>
    </row>
    <row r="28" spans="1:13">
      <c r="A28" s="2">
        <v>42451</v>
      </c>
      <c r="B28" s="3" t="s">
        <v>81</v>
      </c>
      <c r="C28" s="3" t="s">
        <v>79</v>
      </c>
      <c r="D28" s="3">
        <v>2</v>
      </c>
      <c r="E28" s="3" t="s">
        <v>23</v>
      </c>
      <c r="F28" s="3" t="s">
        <v>82</v>
      </c>
      <c r="G28" s="3">
        <v>41610314</v>
      </c>
      <c r="H28" s="3"/>
      <c r="I28" s="3"/>
      <c r="J28" s="4"/>
      <c r="K28" s="3"/>
      <c r="L28" s="3" t="str">
        <f>TRIM("0193138 ")</f>
        <v>0193138</v>
      </c>
      <c r="M28" s="3" t="s">
        <v>20</v>
      </c>
    </row>
    <row r="29" spans="1:13">
      <c r="A29" s="2">
        <v>42451</v>
      </c>
      <c r="B29" s="3" t="s">
        <v>83</v>
      </c>
      <c r="C29" s="3" t="s">
        <v>79</v>
      </c>
      <c r="D29" s="3">
        <v>2</v>
      </c>
      <c r="E29" s="3" t="s">
        <v>23</v>
      </c>
      <c r="F29" s="3" t="s">
        <v>82</v>
      </c>
      <c r="G29" s="3">
        <v>41610312</v>
      </c>
      <c r="H29" s="3"/>
      <c r="I29" s="3"/>
      <c r="J29" s="4"/>
      <c r="K29" s="3"/>
      <c r="L29" s="3" t="str">
        <f>TRIM("0193138 ")</f>
        <v>0193138</v>
      </c>
      <c r="M29" s="3" t="s">
        <v>20</v>
      </c>
    </row>
    <row r="30" spans="1:13">
      <c r="A30" s="2">
        <v>42451</v>
      </c>
      <c r="B30" s="3" t="s">
        <v>84</v>
      </c>
      <c r="C30" s="3" t="s">
        <v>79</v>
      </c>
      <c r="D30" s="3">
        <v>1</v>
      </c>
      <c r="E30" s="3" t="s">
        <v>23</v>
      </c>
      <c r="F30" s="3" t="s">
        <v>82</v>
      </c>
      <c r="G30" s="3">
        <v>41610311</v>
      </c>
      <c r="H30" s="3"/>
      <c r="I30" s="3"/>
      <c r="J30" s="4"/>
      <c r="K30" s="3"/>
      <c r="L30" s="3" t="str">
        <f>TRIM("0193119 ")</f>
        <v>0193119</v>
      </c>
      <c r="M30" s="3" t="s">
        <v>20</v>
      </c>
    </row>
    <row r="31" spans="1:13">
      <c r="A31" s="2">
        <v>42451</v>
      </c>
      <c r="B31" s="3" t="s">
        <v>85</v>
      </c>
      <c r="C31" s="3" t="s">
        <v>47</v>
      </c>
      <c r="D31" s="3">
        <v>3</v>
      </c>
      <c r="E31" s="3" t="s">
        <v>18</v>
      </c>
      <c r="F31" s="3" t="s">
        <v>48</v>
      </c>
      <c r="G31" s="3">
        <v>41608965</v>
      </c>
      <c r="H31" s="3"/>
      <c r="I31" s="3"/>
      <c r="J31" s="4"/>
      <c r="K31" s="3"/>
      <c r="L31" s="3" t="str">
        <f>TRIM("0192432 ")</f>
        <v>0192432</v>
      </c>
      <c r="M31" s="3" t="s">
        <v>20</v>
      </c>
    </row>
    <row r="32" spans="1:13">
      <c r="A32" s="2">
        <v>42451</v>
      </c>
      <c r="B32" s="3" t="s">
        <v>86</v>
      </c>
      <c r="C32" s="3" t="s">
        <v>44</v>
      </c>
      <c r="D32" s="3">
        <v>1</v>
      </c>
      <c r="E32" s="3" t="s">
        <v>23</v>
      </c>
      <c r="F32" s="3" t="s">
        <v>45</v>
      </c>
      <c r="G32" s="3">
        <v>41608966</v>
      </c>
      <c r="H32" s="3"/>
      <c r="I32" s="3"/>
      <c r="J32" s="4"/>
      <c r="K32" s="3"/>
      <c r="L32" s="3" t="str">
        <f>TRIM("0192428 ")</f>
        <v>0192428</v>
      </c>
      <c r="M32" s="3" t="s">
        <v>20</v>
      </c>
    </row>
    <row r="33" spans="1:13">
      <c r="A33" s="2">
        <v>42451</v>
      </c>
      <c r="B33" s="3" t="s">
        <v>87</v>
      </c>
      <c r="C33" s="3" t="s">
        <v>41</v>
      </c>
      <c r="D33" s="3">
        <v>7</v>
      </c>
      <c r="E33" s="3" t="s">
        <v>23</v>
      </c>
      <c r="F33" s="3" t="s">
        <v>42</v>
      </c>
      <c r="G33" s="3">
        <v>41608970</v>
      </c>
      <c r="H33" s="3"/>
      <c r="I33" s="3"/>
      <c r="J33" s="4"/>
      <c r="K33" s="3"/>
      <c r="L33" s="3" t="str">
        <f>TRIM("0192423 ")</f>
        <v>0192423</v>
      </c>
      <c r="M33" s="3" t="s">
        <v>20</v>
      </c>
    </row>
    <row r="34" spans="1:13">
      <c r="A34" s="2">
        <v>42451</v>
      </c>
      <c r="B34" s="3" t="s">
        <v>88</v>
      </c>
      <c r="C34" s="3" t="s">
        <v>38</v>
      </c>
      <c r="D34" s="3">
        <v>13</v>
      </c>
      <c r="E34" s="3" t="s">
        <v>23</v>
      </c>
      <c r="F34" s="3" t="s">
        <v>89</v>
      </c>
      <c r="G34" s="3">
        <v>41608971</v>
      </c>
      <c r="H34" s="3"/>
      <c r="I34" s="3"/>
      <c r="J34" s="4"/>
      <c r="K34" s="3"/>
      <c r="L34" s="3" t="str">
        <f>TRIM("0192420 ")</f>
        <v>0192420</v>
      </c>
      <c r="M34" s="3" t="s">
        <v>20</v>
      </c>
    </row>
    <row r="35" spans="1:13">
      <c r="A35" s="2">
        <v>42451</v>
      </c>
      <c r="B35" s="3" t="s">
        <v>90</v>
      </c>
      <c r="C35" s="3" t="s">
        <v>38</v>
      </c>
      <c r="D35" s="3">
        <v>4</v>
      </c>
      <c r="E35" s="3" t="s">
        <v>23</v>
      </c>
      <c r="F35" s="3" t="s">
        <v>89</v>
      </c>
      <c r="G35" s="3">
        <v>41608972</v>
      </c>
      <c r="H35" s="3"/>
      <c r="I35" s="3"/>
      <c r="J35" s="4"/>
      <c r="K35" s="3"/>
      <c r="L35" s="3" t="str">
        <f>TRIM("0192420 ")</f>
        <v>0192420</v>
      </c>
      <c r="M35" s="3" t="s">
        <v>20</v>
      </c>
    </row>
    <row r="36" spans="1:13">
      <c r="A36" s="2">
        <v>42451</v>
      </c>
      <c r="B36" s="3" t="s">
        <v>91</v>
      </c>
      <c r="C36" s="3" t="s">
        <v>92</v>
      </c>
      <c r="D36" s="3">
        <v>2</v>
      </c>
      <c r="E36" s="3" t="s">
        <v>23</v>
      </c>
      <c r="F36" s="3" t="s">
        <v>93</v>
      </c>
      <c r="G36" s="3">
        <v>41608974</v>
      </c>
      <c r="H36" s="3"/>
      <c r="I36" s="3"/>
      <c r="J36" s="4"/>
      <c r="K36" s="3"/>
      <c r="L36" s="3" t="str">
        <f>TRIM("0192413 ")</f>
        <v>0192413</v>
      </c>
      <c r="M36" s="3" t="s">
        <v>20</v>
      </c>
    </row>
    <row r="37" spans="1:13">
      <c r="A37" s="2">
        <v>42451</v>
      </c>
      <c r="B37" s="3" t="s">
        <v>94</v>
      </c>
      <c r="C37" s="3" t="s">
        <v>95</v>
      </c>
      <c r="D37" s="3">
        <v>1</v>
      </c>
      <c r="E37" s="3" t="s">
        <v>55</v>
      </c>
      <c r="F37" s="3" t="s">
        <v>96</v>
      </c>
      <c r="G37" s="3">
        <v>41551613</v>
      </c>
      <c r="H37" s="3"/>
      <c r="I37" s="3"/>
      <c r="J37" s="4"/>
      <c r="K37" s="3"/>
      <c r="L37" s="3" t="str">
        <f>TRIM("0186056 ")</f>
        <v>0186056</v>
      </c>
      <c r="M37" s="3" t="s">
        <v>20</v>
      </c>
    </row>
    <row r="38" spans="1:13">
      <c r="A38" s="2">
        <v>42451</v>
      </c>
      <c r="B38" s="3" t="s">
        <v>97</v>
      </c>
      <c r="C38" s="3" t="s">
        <v>98</v>
      </c>
      <c r="D38" s="3">
        <v>2</v>
      </c>
      <c r="E38" s="3" t="s">
        <v>23</v>
      </c>
      <c r="F38" s="3" t="s">
        <v>99</v>
      </c>
      <c r="G38" s="3">
        <v>41609530</v>
      </c>
      <c r="H38" s="3"/>
      <c r="I38" s="3"/>
      <c r="J38" s="4"/>
      <c r="K38" s="3"/>
      <c r="L38" s="3" t="str">
        <f>TRIM("0192391 ")</f>
        <v>0192391</v>
      </c>
      <c r="M38" s="3" t="s">
        <v>100</v>
      </c>
    </row>
    <row r="39" spans="1:13">
      <c r="A39" s="2">
        <v>42450</v>
      </c>
      <c r="B39" s="3" t="s">
        <v>101</v>
      </c>
      <c r="C39" s="3" t="s">
        <v>102</v>
      </c>
      <c r="D39" s="3">
        <v>1</v>
      </c>
      <c r="E39" s="3" t="s">
        <v>23</v>
      </c>
      <c r="F39" s="3" t="s">
        <v>103</v>
      </c>
      <c r="G39" s="3">
        <v>41608981</v>
      </c>
      <c r="H39" s="3"/>
      <c r="I39" s="3"/>
      <c r="J39" s="4"/>
      <c r="K39" s="3"/>
      <c r="L39" s="3" t="str">
        <f>TRIM("0192124 ")</f>
        <v>0192124</v>
      </c>
      <c r="M39" s="3" t="s">
        <v>100</v>
      </c>
    </row>
    <row r="40" spans="1:13">
      <c r="A40" s="2">
        <v>42450</v>
      </c>
      <c r="B40" s="3" t="s">
        <v>104</v>
      </c>
      <c r="C40" s="3" t="s">
        <v>29</v>
      </c>
      <c r="D40" s="3">
        <v>1</v>
      </c>
      <c r="E40" s="3" t="s">
        <v>23</v>
      </c>
      <c r="F40" s="3" t="s">
        <v>105</v>
      </c>
      <c r="G40" s="3">
        <v>41608982</v>
      </c>
      <c r="H40" s="3"/>
      <c r="I40" s="3"/>
      <c r="J40" s="4"/>
      <c r="K40" s="3"/>
      <c r="L40" s="3" t="str">
        <f>TRIM("0192115 ")</f>
        <v>0192115</v>
      </c>
      <c r="M40" s="3" t="s">
        <v>100</v>
      </c>
    </row>
    <row r="41" spans="1:13">
      <c r="A41" s="2">
        <v>42450</v>
      </c>
      <c r="B41" s="3" t="s">
        <v>106</v>
      </c>
      <c r="C41" s="3" t="s">
        <v>26</v>
      </c>
      <c r="D41" s="3">
        <v>1</v>
      </c>
      <c r="E41" s="3" t="s">
        <v>23</v>
      </c>
      <c r="F41" s="3" t="s">
        <v>107</v>
      </c>
      <c r="G41" s="3">
        <v>41608984</v>
      </c>
      <c r="H41" s="3"/>
      <c r="I41" s="3"/>
      <c r="J41" s="4"/>
      <c r="K41" s="3"/>
      <c r="L41" s="3" t="str">
        <f>TRIM("0192106 ")</f>
        <v>0192106</v>
      </c>
      <c r="M41" s="3" t="s">
        <v>100</v>
      </c>
    </row>
    <row r="42" spans="1:13">
      <c r="A42" s="2">
        <v>42450</v>
      </c>
      <c r="B42" s="3" t="s">
        <v>108</v>
      </c>
      <c r="C42" s="3" t="s">
        <v>22</v>
      </c>
      <c r="D42" s="3">
        <v>12</v>
      </c>
      <c r="E42" s="3" t="s">
        <v>23</v>
      </c>
      <c r="F42" s="3" t="s">
        <v>24</v>
      </c>
      <c r="G42" s="3">
        <v>41608989</v>
      </c>
      <c r="H42" s="3"/>
      <c r="I42" s="3"/>
      <c r="J42" s="4"/>
      <c r="K42" s="3"/>
      <c r="L42" s="3" t="str">
        <f>TRIM("0192080 ")</f>
        <v>0192080</v>
      </c>
      <c r="M42" s="3" t="s">
        <v>100</v>
      </c>
    </row>
    <row r="43" spans="1:13">
      <c r="A43" s="2">
        <v>42450</v>
      </c>
      <c r="B43" s="3" t="s">
        <v>109</v>
      </c>
      <c r="C43" s="3" t="s">
        <v>110</v>
      </c>
      <c r="D43" s="3">
        <v>6</v>
      </c>
      <c r="E43" s="3" t="s">
        <v>18</v>
      </c>
      <c r="F43" s="3" t="s">
        <v>111</v>
      </c>
      <c r="G43" s="3">
        <v>41607489</v>
      </c>
      <c r="H43" s="3"/>
      <c r="I43" s="3"/>
      <c r="J43" s="4"/>
      <c r="K43" s="3"/>
      <c r="L43" s="3" t="str">
        <f>TRIM("0192058 ")</f>
        <v>0192058</v>
      </c>
      <c r="M43" s="3" t="s">
        <v>100</v>
      </c>
    </row>
    <row r="44" spans="1:13">
      <c r="A44" s="2">
        <v>42450</v>
      </c>
      <c r="B44" s="3" t="s">
        <v>112</v>
      </c>
      <c r="C44" s="3" t="s">
        <v>113</v>
      </c>
      <c r="D44" s="3">
        <v>2</v>
      </c>
      <c r="E44" s="3" t="s">
        <v>18</v>
      </c>
      <c r="F44" s="3" t="s">
        <v>114</v>
      </c>
      <c r="G44" s="3">
        <v>41608963</v>
      </c>
      <c r="H44" s="3"/>
      <c r="I44" s="3"/>
      <c r="J44" s="4"/>
      <c r="K44" s="3"/>
      <c r="L44" s="3" t="str">
        <f>TRIM("0192045 ")</f>
        <v>0192045</v>
      </c>
      <c r="M44" s="3" t="s">
        <v>100</v>
      </c>
    </row>
    <row r="45" spans="1:13">
      <c r="A45" s="2">
        <v>42450</v>
      </c>
      <c r="B45" s="3" t="s">
        <v>115</v>
      </c>
      <c r="C45" s="3" t="s">
        <v>116</v>
      </c>
      <c r="D45" s="3">
        <v>14</v>
      </c>
      <c r="E45" s="3" t="s">
        <v>18</v>
      </c>
      <c r="F45" s="3" t="s">
        <v>117</v>
      </c>
      <c r="G45" s="3">
        <v>41608967</v>
      </c>
      <c r="H45" s="3"/>
      <c r="I45" s="3"/>
      <c r="J45" s="4"/>
      <c r="K45" s="3"/>
      <c r="L45" s="3" t="str">
        <f>TRIM("0192036 ")</f>
        <v>0192036</v>
      </c>
      <c r="M45" s="3" t="s">
        <v>100</v>
      </c>
    </row>
    <row r="46" spans="1:13">
      <c r="A46" s="2">
        <v>42450</v>
      </c>
      <c r="B46" s="3" t="s">
        <v>118</v>
      </c>
      <c r="C46" s="3" t="s">
        <v>119</v>
      </c>
      <c r="D46" s="3">
        <v>11</v>
      </c>
      <c r="E46" s="3" t="s">
        <v>18</v>
      </c>
      <c r="F46" s="3" t="s">
        <v>120</v>
      </c>
      <c r="G46" s="3">
        <v>41608969</v>
      </c>
      <c r="H46" s="3"/>
      <c r="I46" s="3"/>
      <c r="J46" s="4"/>
      <c r="K46" s="3"/>
      <c r="L46" s="3" t="str">
        <f>TRIM("0192028 ")</f>
        <v>0192028</v>
      </c>
      <c r="M46" s="3" t="s">
        <v>100</v>
      </c>
    </row>
    <row r="47" spans="1:13">
      <c r="A47" s="2">
        <v>42450</v>
      </c>
      <c r="B47" s="3" t="s">
        <v>121</v>
      </c>
      <c r="C47" s="3" t="s">
        <v>122</v>
      </c>
      <c r="D47" s="3">
        <v>2</v>
      </c>
      <c r="E47" s="3" t="s">
        <v>18</v>
      </c>
      <c r="F47" s="3" t="s">
        <v>123</v>
      </c>
      <c r="G47" s="3">
        <v>41608976</v>
      </c>
      <c r="H47" s="3"/>
      <c r="I47" s="3"/>
      <c r="J47" s="4"/>
      <c r="K47" s="3"/>
      <c r="L47" s="3" t="str">
        <f>TRIM("0192024 ")</f>
        <v>0192024</v>
      </c>
      <c r="M47" s="3" t="s">
        <v>100</v>
      </c>
    </row>
    <row r="48" spans="1:13">
      <c r="A48" s="2">
        <v>42450</v>
      </c>
      <c r="B48" s="3" t="s">
        <v>124</v>
      </c>
      <c r="C48" s="3" t="s">
        <v>69</v>
      </c>
      <c r="D48" s="3">
        <v>1</v>
      </c>
      <c r="E48" s="3" t="s">
        <v>18</v>
      </c>
      <c r="F48" s="3" t="s">
        <v>70</v>
      </c>
      <c r="G48" s="3">
        <v>41608993</v>
      </c>
      <c r="H48" s="3"/>
      <c r="I48" s="3"/>
      <c r="J48" s="4"/>
      <c r="K48" s="3"/>
      <c r="L48" s="3" t="str">
        <f>TRIM("0192011 ")</f>
        <v>0192011</v>
      </c>
      <c r="M48" s="3" t="s">
        <v>100</v>
      </c>
    </row>
    <row r="49" spans="1:13">
      <c r="A49" s="2">
        <v>42450</v>
      </c>
      <c r="B49" s="3" t="s">
        <v>125</v>
      </c>
      <c r="C49" s="3" t="s">
        <v>126</v>
      </c>
      <c r="D49" s="3">
        <v>2</v>
      </c>
      <c r="E49" s="3" t="s">
        <v>23</v>
      </c>
      <c r="F49" s="3" t="s">
        <v>127</v>
      </c>
      <c r="G49" s="3">
        <v>41608990</v>
      </c>
      <c r="H49" s="3"/>
      <c r="I49" s="3"/>
      <c r="J49" s="4"/>
      <c r="K49" s="3"/>
      <c r="L49" s="3" t="str">
        <f>TRIM("0191992 ")</f>
        <v>0191992</v>
      </c>
      <c r="M49" s="3" t="s">
        <v>100</v>
      </c>
    </row>
    <row r="50" spans="1:13">
      <c r="A50" s="2">
        <v>42450</v>
      </c>
      <c r="B50" s="3" t="s">
        <v>128</v>
      </c>
      <c r="C50" s="3" t="s">
        <v>129</v>
      </c>
      <c r="D50" s="3">
        <v>1</v>
      </c>
      <c r="E50" s="3" t="s">
        <v>18</v>
      </c>
      <c r="F50" s="3" t="s">
        <v>130</v>
      </c>
      <c r="G50" s="3">
        <v>41608992</v>
      </c>
      <c r="H50" s="3"/>
      <c r="I50" s="3"/>
      <c r="J50" s="4"/>
      <c r="K50" s="3"/>
      <c r="L50" s="3" t="str">
        <f>TRIM("0100055 ")</f>
        <v>0100055</v>
      </c>
      <c r="M50" s="3" t="s">
        <v>100</v>
      </c>
    </row>
    <row r="51" spans="1:13">
      <c r="A51" s="2">
        <v>42450</v>
      </c>
      <c r="B51" s="3" t="s">
        <v>131</v>
      </c>
      <c r="C51" s="3" t="s">
        <v>110</v>
      </c>
      <c r="D51" s="3">
        <v>3</v>
      </c>
      <c r="E51" s="3" t="s">
        <v>18</v>
      </c>
      <c r="F51" s="3" t="s">
        <v>132</v>
      </c>
      <c r="G51" s="3">
        <v>41607487</v>
      </c>
      <c r="H51" s="3"/>
      <c r="I51" s="3"/>
      <c r="J51" s="4"/>
      <c r="K51" s="3"/>
      <c r="L51" s="3" t="str">
        <f>TRIM("0191965 ")</f>
        <v>0191965</v>
      </c>
      <c r="M51" s="3" t="s">
        <v>100</v>
      </c>
    </row>
    <row r="52" spans="1:13">
      <c r="A52" s="2">
        <v>42450</v>
      </c>
      <c r="B52" s="3" t="s">
        <v>133</v>
      </c>
      <c r="C52" s="3" t="s">
        <v>134</v>
      </c>
      <c r="D52" s="3">
        <v>2</v>
      </c>
      <c r="E52" s="3" t="s">
        <v>23</v>
      </c>
      <c r="F52" s="3" t="s">
        <v>135</v>
      </c>
      <c r="G52" s="3">
        <v>41608978</v>
      </c>
      <c r="H52" s="3"/>
      <c r="I52" s="3"/>
      <c r="J52" s="4"/>
      <c r="K52" s="3"/>
      <c r="L52" s="3" t="str">
        <f>TRIM("0191913 ")</f>
        <v>0191913</v>
      </c>
      <c r="M52" s="3" t="s">
        <v>100</v>
      </c>
    </row>
    <row r="53" spans="1:13">
      <c r="A53" s="2">
        <v>42450</v>
      </c>
      <c r="B53" s="3" t="s">
        <v>136</v>
      </c>
      <c r="C53" s="3" t="s">
        <v>137</v>
      </c>
      <c r="D53" s="3">
        <v>1</v>
      </c>
      <c r="E53" s="3" t="s">
        <v>18</v>
      </c>
      <c r="F53" s="3" t="s">
        <v>138</v>
      </c>
      <c r="G53" s="3">
        <v>41607492</v>
      </c>
      <c r="H53" s="3"/>
      <c r="I53" s="3"/>
      <c r="J53" s="4"/>
      <c r="K53" s="3"/>
      <c r="L53" s="3" t="str">
        <f>TRIM("000000000191896")</f>
        <v>000000000191896</v>
      </c>
      <c r="M53" s="3" t="s">
        <v>100</v>
      </c>
    </row>
    <row r="54" spans="1:13">
      <c r="A54" s="2">
        <v>42450</v>
      </c>
      <c r="B54" s="3" t="s">
        <v>139</v>
      </c>
      <c r="C54" s="3" t="s">
        <v>140</v>
      </c>
      <c r="D54" s="3">
        <v>1</v>
      </c>
      <c r="E54" s="3" t="s">
        <v>23</v>
      </c>
      <c r="F54" s="3" t="s">
        <v>141</v>
      </c>
      <c r="G54" s="3">
        <v>41608964</v>
      </c>
      <c r="H54" s="3"/>
      <c r="I54" s="3"/>
      <c r="J54" s="4"/>
      <c r="K54" s="3"/>
      <c r="L54" s="3" t="str">
        <f>TRIM("0174142 ")</f>
        <v>0174142</v>
      </c>
      <c r="M54" s="3" t="s">
        <v>100</v>
      </c>
    </row>
    <row r="55" spans="1:13">
      <c r="A55" s="2">
        <v>42450</v>
      </c>
      <c r="B55" s="3" t="s">
        <v>142</v>
      </c>
      <c r="C55" s="3" t="s">
        <v>134</v>
      </c>
      <c r="D55" s="3">
        <v>1</v>
      </c>
      <c r="E55" s="3" t="s">
        <v>55</v>
      </c>
      <c r="F55" s="3" t="s">
        <v>143</v>
      </c>
      <c r="G55" s="3">
        <v>41607494</v>
      </c>
      <c r="H55" s="3"/>
      <c r="I55" s="3"/>
      <c r="J55" s="4"/>
      <c r="K55" s="3"/>
      <c r="L55" s="3" t="str">
        <f>TRIM("0191863 ")</f>
        <v>0191863</v>
      </c>
      <c r="M55" s="3" t="s">
        <v>100</v>
      </c>
    </row>
    <row r="56" spans="1:13">
      <c r="A56" s="2">
        <v>42450</v>
      </c>
      <c r="B56" s="3" t="s">
        <v>144</v>
      </c>
      <c r="C56" s="3" t="s">
        <v>35</v>
      </c>
      <c r="D56" s="3">
        <v>1</v>
      </c>
      <c r="E56" s="3" t="s">
        <v>18</v>
      </c>
      <c r="F56" s="3" t="s">
        <v>36</v>
      </c>
      <c r="G56" s="3">
        <v>41608979</v>
      </c>
      <c r="H56" s="3"/>
      <c r="I56" s="3"/>
      <c r="J56" s="4"/>
      <c r="K56" s="3"/>
      <c r="L56" s="3" t="str">
        <f>TRIM("0191852 ")</f>
        <v>0191852</v>
      </c>
      <c r="M56" s="3" t="s">
        <v>100</v>
      </c>
    </row>
    <row r="57" spans="1:13">
      <c r="A57" s="2">
        <v>42450</v>
      </c>
      <c r="B57" s="3" t="s">
        <v>145</v>
      </c>
      <c r="C57" s="3" t="s">
        <v>146</v>
      </c>
      <c r="D57" s="3">
        <v>2</v>
      </c>
      <c r="E57" s="3" t="s">
        <v>23</v>
      </c>
      <c r="F57" s="3" t="s">
        <v>147</v>
      </c>
      <c r="G57" s="3">
        <v>41593467</v>
      </c>
      <c r="H57" s="3"/>
      <c r="I57" s="3"/>
      <c r="J57" s="4"/>
      <c r="K57" s="3"/>
      <c r="L57" s="3" t="str">
        <f>TRIM("0191687 ")</f>
        <v>0191687</v>
      </c>
      <c r="M57" s="3" t="s">
        <v>100</v>
      </c>
    </row>
    <row r="58" spans="1:13">
      <c r="A58" s="2">
        <v>42450</v>
      </c>
      <c r="B58" s="3" t="s">
        <v>148</v>
      </c>
      <c r="C58" s="3" t="s">
        <v>149</v>
      </c>
      <c r="D58" s="3">
        <v>7</v>
      </c>
      <c r="E58" s="3" t="s">
        <v>23</v>
      </c>
      <c r="F58" s="3" t="s">
        <v>150</v>
      </c>
      <c r="G58" s="3">
        <v>41593465</v>
      </c>
      <c r="H58" s="3"/>
      <c r="I58" s="3"/>
      <c r="J58" s="4"/>
      <c r="K58" s="3"/>
      <c r="L58" s="3" t="str">
        <f>TRIM("0191621 ")</f>
        <v>0191621</v>
      </c>
      <c r="M58" s="3" t="s">
        <v>100</v>
      </c>
    </row>
    <row r="59" spans="1:13">
      <c r="A59" s="2">
        <v>42447</v>
      </c>
      <c r="B59" s="3" t="s">
        <v>151</v>
      </c>
      <c r="C59" s="3" t="s">
        <v>29</v>
      </c>
      <c r="D59" s="3">
        <v>1</v>
      </c>
      <c r="E59" s="3" t="s">
        <v>23</v>
      </c>
      <c r="F59" s="3" t="s">
        <v>105</v>
      </c>
      <c r="G59" s="3">
        <v>41599430</v>
      </c>
      <c r="H59" s="3"/>
      <c r="I59" s="3"/>
      <c r="J59" s="4"/>
      <c r="K59" s="3"/>
      <c r="L59" s="3" t="str">
        <f>TRIM("0190995 ")</f>
        <v>0190995</v>
      </c>
      <c r="M59" s="3" t="s">
        <v>100</v>
      </c>
    </row>
    <row r="60" spans="1:13">
      <c r="A60" s="2">
        <v>42447</v>
      </c>
      <c r="B60" s="3" t="s">
        <v>152</v>
      </c>
      <c r="C60" s="3" t="s">
        <v>26</v>
      </c>
      <c r="D60" s="3">
        <v>1</v>
      </c>
      <c r="E60" s="3" t="s">
        <v>23</v>
      </c>
      <c r="F60" s="3" t="s">
        <v>107</v>
      </c>
      <c r="G60" s="3">
        <v>41599432</v>
      </c>
      <c r="H60" s="3"/>
      <c r="I60" s="3"/>
      <c r="J60" s="4"/>
      <c r="K60" s="3"/>
      <c r="L60" s="3" t="str">
        <f>TRIM("0190989 ")</f>
        <v>0190989</v>
      </c>
      <c r="M60" s="3" t="s">
        <v>100</v>
      </c>
    </row>
    <row r="61" spans="1:13">
      <c r="A61" s="2">
        <v>42447</v>
      </c>
      <c r="B61" s="3" t="s">
        <v>153</v>
      </c>
      <c r="C61" s="3" t="s">
        <v>22</v>
      </c>
      <c r="D61" s="3">
        <v>28</v>
      </c>
      <c r="E61" s="3" t="s">
        <v>55</v>
      </c>
      <c r="F61" s="3" t="s">
        <v>154</v>
      </c>
      <c r="G61" s="3">
        <v>41599433</v>
      </c>
      <c r="H61" s="3"/>
      <c r="I61" s="3"/>
      <c r="J61" s="4"/>
      <c r="K61" s="3"/>
      <c r="L61" s="3" t="str">
        <f>TRIM("0190983 ")</f>
        <v>0190983</v>
      </c>
      <c r="M61" s="3" t="s">
        <v>100</v>
      </c>
    </row>
    <row r="62" spans="1:13">
      <c r="A62" s="2">
        <v>42447</v>
      </c>
      <c r="B62" s="3" t="s">
        <v>155</v>
      </c>
      <c r="C62" s="3" t="s">
        <v>41</v>
      </c>
      <c r="D62" s="3">
        <v>1</v>
      </c>
      <c r="E62" s="3" t="s">
        <v>23</v>
      </c>
      <c r="F62" s="3" t="s">
        <v>42</v>
      </c>
      <c r="G62" s="3">
        <v>41599435</v>
      </c>
      <c r="H62" s="3"/>
      <c r="I62" s="3"/>
      <c r="J62" s="4"/>
      <c r="K62" s="3"/>
      <c r="L62" s="3" t="str">
        <f>TRIM("0179416 ")</f>
        <v>0179416</v>
      </c>
      <c r="M62" s="3" t="s">
        <v>100</v>
      </c>
    </row>
    <row r="63" spans="1:13">
      <c r="A63" s="2">
        <v>42447</v>
      </c>
      <c r="B63" s="3" t="s">
        <v>156</v>
      </c>
      <c r="C63" s="3" t="s">
        <v>92</v>
      </c>
      <c r="D63" s="3">
        <v>2</v>
      </c>
      <c r="E63" s="3" t="s">
        <v>23</v>
      </c>
      <c r="F63" s="3" t="s">
        <v>93</v>
      </c>
      <c r="G63" s="3">
        <v>41599436</v>
      </c>
      <c r="H63" s="3"/>
      <c r="I63" s="3"/>
      <c r="J63" s="4"/>
      <c r="K63" s="3"/>
      <c r="L63" s="3" t="str">
        <f>TRIM("0190981 ")</f>
        <v>0190981</v>
      </c>
      <c r="M63" s="3" t="s">
        <v>100</v>
      </c>
    </row>
    <row r="64" spans="1:13">
      <c r="A64" s="2">
        <v>42447</v>
      </c>
      <c r="B64" s="3" t="s">
        <v>157</v>
      </c>
      <c r="C64" s="3" t="s">
        <v>102</v>
      </c>
      <c r="D64" s="3">
        <v>1</v>
      </c>
      <c r="E64" s="3" t="s">
        <v>23</v>
      </c>
      <c r="F64" s="3" t="s">
        <v>103</v>
      </c>
      <c r="G64" s="3">
        <v>41599439</v>
      </c>
      <c r="H64" s="3"/>
      <c r="I64" s="3"/>
      <c r="J64" s="4"/>
      <c r="K64" s="3"/>
      <c r="L64" s="3" t="str">
        <f>TRIM("0190977 ")</f>
        <v>0190977</v>
      </c>
      <c r="M64" s="3" t="s">
        <v>100</v>
      </c>
    </row>
    <row r="65" spans="1:13">
      <c r="A65" s="2">
        <v>42447</v>
      </c>
      <c r="B65" s="3" t="s">
        <v>158</v>
      </c>
      <c r="C65" s="3" t="s">
        <v>35</v>
      </c>
      <c r="D65" s="3">
        <v>1</v>
      </c>
      <c r="E65" s="3" t="s">
        <v>18</v>
      </c>
      <c r="F65" s="3" t="s">
        <v>36</v>
      </c>
      <c r="G65" s="3">
        <v>41599438</v>
      </c>
      <c r="H65" s="3"/>
      <c r="I65" s="3"/>
      <c r="J65" s="4"/>
      <c r="K65" s="3"/>
      <c r="L65" s="3" t="str">
        <f>TRIM("0190967 ")</f>
        <v>0190967</v>
      </c>
      <c r="M65" s="3" t="s">
        <v>100</v>
      </c>
    </row>
    <row r="66" spans="1:13">
      <c r="A66" s="2">
        <v>42446</v>
      </c>
      <c r="B66" s="3" t="s">
        <v>159</v>
      </c>
      <c r="C66" s="3" t="s">
        <v>22</v>
      </c>
      <c r="D66" s="3">
        <v>4</v>
      </c>
      <c r="E66" s="3" t="s">
        <v>23</v>
      </c>
      <c r="F66" s="3" t="s">
        <v>24</v>
      </c>
      <c r="G66" s="3">
        <v>41592014</v>
      </c>
      <c r="H66" s="3"/>
      <c r="I66" s="3"/>
      <c r="J66" s="4"/>
      <c r="K66" s="3"/>
      <c r="L66" s="3" t="str">
        <f>TRIM("0190190 ")</f>
        <v>0190190</v>
      </c>
      <c r="M66" s="3" t="s">
        <v>100</v>
      </c>
    </row>
    <row r="67" spans="1:13">
      <c r="A67" s="2">
        <v>42446</v>
      </c>
      <c r="B67" s="3" t="s">
        <v>160</v>
      </c>
      <c r="C67" s="3" t="s">
        <v>22</v>
      </c>
      <c r="D67" s="3">
        <v>4</v>
      </c>
      <c r="E67" s="3" t="s">
        <v>23</v>
      </c>
      <c r="F67" s="3" t="s">
        <v>24</v>
      </c>
      <c r="G67" s="3">
        <v>41592016</v>
      </c>
      <c r="H67" s="3"/>
      <c r="I67" s="3"/>
      <c r="J67" s="4"/>
      <c r="K67" s="3"/>
      <c r="L67" s="3" t="str">
        <f>TRIM("0190190 ")</f>
        <v>0190190</v>
      </c>
      <c r="M67" s="3" t="s">
        <v>100</v>
      </c>
    </row>
    <row r="68" spans="1:13">
      <c r="A68" s="2">
        <v>42446</v>
      </c>
      <c r="B68" s="3" t="s">
        <v>161</v>
      </c>
      <c r="C68" s="3" t="s">
        <v>22</v>
      </c>
      <c r="D68" s="3">
        <v>4</v>
      </c>
      <c r="E68" s="3" t="s">
        <v>23</v>
      </c>
      <c r="F68" s="3" t="s">
        <v>24</v>
      </c>
      <c r="G68" s="3">
        <v>41592024</v>
      </c>
      <c r="H68" s="3"/>
      <c r="I68" s="3"/>
      <c r="J68" s="4"/>
      <c r="K68" s="3"/>
      <c r="L68" s="3" t="str">
        <f>TRIM("0190185 ")</f>
        <v>0190185</v>
      </c>
      <c r="M68" s="3" t="s">
        <v>100</v>
      </c>
    </row>
    <row r="69" spans="1:13">
      <c r="A69" s="2">
        <v>42446</v>
      </c>
      <c r="B69" s="3" t="s">
        <v>162</v>
      </c>
      <c r="C69" s="3" t="s">
        <v>163</v>
      </c>
      <c r="D69" s="3">
        <v>1</v>
      </c>
      <c r="E69" s="3" t="s">
        <v>18</v>
      </c>
      <c r="F69" s="3" t="s">
        <v>164</v>
      </c>
      <c r="G69" s="3">
        <v>41592012</v>
      </c>
      <c r="H69" s="3"/>
      <c r="I69" s="3"/>
      <c r="J69" s="4"/>
      <c r="K69" s="3"/>
      <c r="L69" s="3" t="str">
        <f>TRIM("0190159 ")</f>
        <v>0190159</v>
      </c>
      <c r="M69" s="3" t="s">
        <v>100</v>
      </c>
    </row>
    <row r="70" spans="1:13">
      <c r="A70" s="2">
        <v>42446</v>
      </c>
      <c r="B70" s="3" t="s">
        <v>165</v>
      </c>
      <c r="C70" s="3" t="s">
        <v>163</v>
      </c>
      <c r="D70" s="3">
        <v>3</v>
      </c>
      <c r="E70" s="3" t="s">
        <v>18</v>
      </c>
      <c r="F70" s="3" t="s">
        <v>164</v>
      </c>
      <c r="G70" s="3">
        <v>41592019</v>
      </c>
      <c r="H70" s="3"/>
      <c r="I70" s="3"/>
      <c r="J70" s="4"/>
      <c r="K70" s="3"/>
      <c r="L70" s="3" t="str">
        <f>TRIM("0190152 ")</f>
        <v>0190152</v>
      </c>
      <c r="M70" s="3" t="s">
        <v>100</v>
      </c>
    </row>
    <row r="71" spans="1:13">
      <c r="A71" s="2">
        <v>42446</v>
      </c>
      <c r="B71" s="3" t="s">
        <v>166</v>
      </c>
      <c r="C71" s="3" t="s">
        <v>50</v>
      </c>
      <c r="D71" s="3">
        <v>6</v>
      </c>
      <c r="E71" s="3" t="s">
        <v>55</v>
      </c>
      <c r="F71" s="3" t="s">
        <v>167</v>
      </c>
      <c r="G71" s="3">
        <v>41584975</v>
      </c>
      <c r="H71" s="3"/>
      <c r="I71" s="3"/>
      <c r="J71" s="4"/>
      <c r="K71" s="3"/>
      <c r="L71" s="3" t="str">
        <f>TRIM("0189813 ")</f>
        <v>0189813</v>
      </c>
      <c r="M71" s="3" t="s">
        <v>100</v>
      </c>
    </row>
    <row r="72" spans="1:13">
      <c r="A72" s="2">
        <v>42446</v>
      </c>
      <c r="B72" s="3" t="s">
        <v>168</v>
      </c>
      <c r="C72" s="3" t="s">
        <v>50</v>
      </c>
      <c r="D72" s="3">
        <v>2</v>
      </c>
      <c r="E72" s="3" t="s">
        <v>55</v>
      </c>
      <c r="F72" s="3" t="s">
        <v>167</v>
      </c>
      <c r="G72" s="3">
        <v>41584983</v>
      </c>
      <c r="H72" s="3"/>
      <c r="I72" s="3"/>
      <c r="J72" s="4"/>
      <c r="K72" s="3"/>
      <c r="L72" s="3" t="str">
        <f>TRIM("0189809 ")</f>
        <v>0189809</v>
      </c>
      <c r="M72" s="3" t="s">
        <v>100</v>
      </c>
    </row>
    <row r="73" spans="1:13">
      <c r="A73" s="2">
        <v>42446</v>
      </c>
      <c r="B73" s="3" t="s">
        <v>169</v>
      </c>
      <c r="C73" s="3" t="s">
        <v>50</v>
      </c>
      <c r="D73" s="3">
        <v>1</v>
      </c>
      <c r="E73" s="3" t="s">
        <v>23</v>
      </c>
      <c r="F73" s="3" t="s">
        <v>51</v>
      </c>
      <c r="G73" s="3">
        <v>41584979</v>
      </c>
      <c r="H73" s="3"/>
      <c r="I73" s="3"/>
      <c r="J73" s="4"/>
      <c r="K73" s="3"/>
      <c r="L73" s="3" t="str">
        <f>TRIM("0189806 ")</f>
        <v>0189806</v>
      </c>
      <c r="M73" s="3" t="s">
        <v>100</v>
      </c>
    </row>
    <row r="74" spans="1:13">
      <c r="A74" s="2">
        <v>42446</v>
      </c>
      <c r="B74" s="3" t="s">
        <v>170</v>
      </c>
      <c r="C74" s="3" t="s">
        <v>50</v>
      </c>
      <c r="D74" s="3">
        <v>1</v>
      </c>
      <c r="E74" s="3" t="s">
        <v>23</v>
      </c>
      <c r="F74" s="3" t="s">
        <v>51</v>
      </c>
      <c r="G74" s="3">
        <v>41584982</v>
      </c>
      <c r="H74" s="3"/>
      <c r="I74" s="3"/>
      <c r="J74" s="4"/>
      <c r="K74" s="3"/>
      <c r="L74" s="3" t="str">
        <f>TRIM("0189800 ")</f>
        <v>0189800</v>
      </c>
      <c r="M74" s="3" t="s">
        <v>100</v>
      </c>
    </row>
    <row r="75" spans="1:13">
      <c r="A75" s="2">
        <v>42445</v>
      </c>
      <c r="B75" s="3" t="s">
        <v>171</v>
      </c>
      <c r="C75" s="3" t="s">
        <v>172</v>
      </c>
      <c r="D75" s="3">
        <v>4</v>
      </c>
      <c r="E75" s="3" t="s">
        <v>23</v>
      </c>
      <c r="F75" s="3" t="s">
        <v>173</v>
      </c>
      <c r="G75" s="3">
        <v>41572299</v>
      </c>
      <c r="H75" s="3"/>
      <c r="I75" s="3"/>
      <c r="J75" s="4"/>
      <c r="K75" s="3"/>
      <c r="L75" s="3" t="str">
        <f>TRIM("0189224 ")</f>
        <v>0189224</v>
      </c>
      <c r="M75" s="3" t="s">
        <v>100</v>
      </c>
    </row>
  </sheetData>
  <mergeCells count="3">
    <mergeCell ref="A1:N1"/>
    <mergeCell ref="A2:N2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OpenAgedSNR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Cattell, Zachary</dc:creator>
  <cp:lastModifiedBy>cattellz</cp:lastModifiedBy>
  <dcterms:created xsi:type="dcterms:W3CDTF">2016-03-23T12:31:31Z</dcterms:created>
  <dcterms:modified xsi:type="dcterms:W3CDTF">2016-03-23T12:31:31Z</dcterms:modified>
</cp:coreProperties>
</file>